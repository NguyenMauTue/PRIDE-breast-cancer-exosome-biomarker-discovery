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ue\Downloads\"/>
    </mc:Choice>
  </mc:AlternateContent>
  <xr:revisionPtr revIDLastSave="0" documentId="13_ncr:1_{1339DCFE-CED3-4A5B-A8FA-D688857CF983}" xr6:coauthVersionLast="47" xr6:coauthVersionMax="47" xr10:uidLastSave="{00000000-0000-0000-0000-000000000000}"/>
  <bookViews>
    <workbookView xWindow="6720" yWindow="1845" windowWidth="21585" windowHeight="12525" firstSheet="1" activeTab="4" xr2:uid="{00000000-000D-0000-FFFF-FFFF00000000}"/>
  </bookViews>
  <sheets>
    <sheet name="1_Intersection_Summary" sheetId="1" r:id="rId1"/>
    <sheet name="2_Direction_Consistency" sheetId="2" r:id="rId2"/>
    <sheet name="3_CDS_Comparison" sheetId="3" r:id="rId3"/>
    <sheet name="4_Protein_Descriptions" sheetId="4" r:id="rId4"/>
    <sheet name="5_Full_Supplementary" sheetId="5" r:id="rId5"/>
  </sheets>
  <calcPr calcId="0"/>
</workbook>
</file>

<file path=xl/sharedStrings.xml><?xml version="1.0" encoding="utf-8"?>
<sst xmlns="http://schemas.openxmlformats.org/spreadsheetml/2006/main" count="639" uniqueCount="180">
  <si>
    <t>Cross-Dataset Validation – Intersection Summary (PXD056161 × PXD012162)</t>
  </si>
  <si>
    <t>A. Dataset Overview</t>
  </si>
  <si>
    <t>Dataset</t>
  </si>
  <si>
    <t>PRIDE ID</t>
  </si>
  <si>
    <t>Proteins (localization-filtered)</t>
  </si>
  <si>
    <t>Max network degree</t>
  </si>
  <si>
    <t>Dominant robustness label</t>
  </si>
  <si>
    <t>Cell line context</t>
  </si>
  <si>
    <t>Main</t>
  </si>
  <si>
    <t>PXD056161</t>
  </si>
  <si>
    <t>robust_candidate (~92%)</t>
  </si>
  <si>
    <t>MDA-MB-231 vs MCF-10A</t>
  </si>
  <si>
    <t>Validation</t>
  </si>
  <si>
    <t>PXD012162</t>
  </si>
  <si>
    <t>weight_sensitive (~83%)</t>
  </si>
  <si>
    <t>B. Shared Proteins by Functional Category</t>
  </si>
  <si>
    <t>Category</t>
  </si>
  <si>
    <t>Representative proteins</t>
  </si>
  <si>
    <t>Count</t>
  </si>
  <si>
    <t>% of 25 shared</t>
  </si>
  <si>
    <t>Concordant</t>
  </si>
  <si>
    <t>Concordance rate</t>
  </si>
  <si>
    <t>ECM / adhesion</t>
  </si>
  <si>
    <t>FN1, ITGA2, ITGB1, ITGA3, MCAM, AGRN, CD44, LAMC1, LAMB2, HSPG2, ITGA6, MFGE8</t>
  </si>
  <si>
    <t>48%</t>
  </si>
  <si>
    <t>92%</t>
  </si>
  <si>
    <t>Signaling / immune</t>
  </si>
  <si>
    <t>S100A9, B2M, NRAS, CD36, GRB2, PPP2R1A</t>
  </si>
  <si>
    <t>24%</t>
  </si>
  <si>
    <t>50%</t>
  </si>
  <si>
    <t>Cytoskeleton</t>
  </si>
  <si>
    <t>JUP, CALM3, DIAPH1</t>
  </si>
  <si>
    <t>12%</t>
  </si>
  <si>
    <t>100%</t>
  </si>
  <si>
    <t>EV / trafficking</t>
  </si>
  <si>
    <t>CD47</t>
  </si>
  <si>
    <t>4%</t>
  </si>
  <si>
    <t>RNA-binding / nuclear</t>
  </si>
  <si>
    <t>HNRNPD, KPNA2, U2AF2</t>
  </si>
  <si>
    <t>67%</t>
  </si>
  <si>
    <t>TOTAL</t>
  </si>
  <si>
    <t>—</t>
  </si>
  <si>
    <t>80%</t>
  </si>
  <si>
    <t>Note: Robustness labels are not directly comparable between datasets — network size differs (PXD056161: 61 proteins, PXD012162: 426 proteins). Direction concordance (↑/↓) is the primary validation criterion.</t>
  </si>
  <si>
    <t>Direction Consistency – Shared Proteins (PXD056161 × PXD012162)</t>
  </si>
  <si>
    <t>Protein</t>
  </si>
  <si>
    <t>Localization</t>
  </si>
  <si>
    <t>logFC (PXD056161)</t>
  </si>
  <si>
    <t>Dir.</t>
  </si>
  <si>
    <t>logFC (PXD012162)</t>
  </si>
  <si>
    <t>Concordant?</t>
  </si>
  <si>
    <t>FN1</t>
  </si>
  <si>
    <t>extracellular</t>
  </si>
  <si>
    <t>↑</t>
  </si>
  <si>
    <t>Yes</t>
  </si>
  <si>
    <t>ITGA2</t>
  </si>
  <si>
    <t>membrane</t>
  </si>
  <si>
    <t>ITGB1</t>
  </si>
  <si>
    <t>ITGA3</t>
  </si>
  <si>
    <t>MCAM</t>
  </si>
  <si>
    <t>S100A9</t>
  </si>
  <si>
    <t>↓</t>
  </si>
  <si>
    <t>AGRN</t>
  </si>
  <si>
    <t>CD44</t>
  </si>
  <si>
    <t>LAMC1</t>
  </si>
  <si>
    <t>LAMB2</t>
  </si>
  <si>
    <t>HSPG2</t>
  </si>
  <si>
    <t>ITGA6</t>
  </si>
  <si>
    <t>No</t>
  </si>
  <si>
    <t>HNRNPD</t>
  </si>
  <si>
    <t>intracellular</t>
  </si>
  <si>
    <t>MFGE8</t>
  </si>
  <si>
    <t>B2M</t>
  </si>
  <si>
    <t>JUP</t>
  </si>
  <si>
    <t>NRAS</t>
  </si>
  <si>
    <t>CALM3</t>
  </si>
  <si>
    <t>KPNA2</t>
  </si>
  <si>
    <t>CD36</t>
  </si>
  <si>
    <t>GRB2</t>
  </si>
  <si>
    <t>PPP2R1A</t>
  </si>
  <si>
    <t>DIAPH1</t>
  </si>
  <si>
    <t>U2AF2</t>
  </si>
  <si>
    <t>CDS Score &amp; Rank Comparison – Shared Proteins</t>
  </si>
  <si>
    <t>CDS (PXD056161)</t>
  </si>
  <si>
    <t>Rank in 056161
(of 61)</t>
  </si>
  <si>
    <t>CDS (PXD012162)</t>
  </si>
  <si>
    <t>Rank in 012162
(of 426)</t>
  </si>
  <si>
    <t>Rank shift</t>
  </si>
  <si>
    <t>Robustness (056161)</t>
  </si>
  <si>
    <t>+20</t>
  </si>
  <si>
    <t>robust_candidate</t>
  </si>
  <si>
    <t>+52</t>
  </si>
  <si>
    <t>+24</t>
  </si>
  <si>
    <t>+40</t>
  </si>
  <si>
    <t>+144</t>
  </si>
  <si>
    <t>+57</t>
  </si>
  <si>
    <t>+59</t>
  </si>
  <si>
    <t>+65</t>
  </si>
  <si>
    <t>+51</t>
  </si>
  <si>
    <t>-10</t>
  </si>
  <si>
    <t>+66</t>
  </si>
  <si>
    <t>+296</t>
  </si>
  <si>
    <t>+193</t>
  </si>
  <si>
    <t>+276</t>
  </si>
  <si>
    <t>+87</t>
  </si>
  <si>
    <t>weight_sensitive_candidate</t>
  </si>
  <si>
    <t>+127</t>
  </si>
  <si>
    <t>+146</t>
  </si>
  <si>
    <t>+269</t>
  </si>
  <si>
    <t>+188</t>
  </si>
  <si>
    <t>+209</t>
  </si>
  <si>
    <t>-23</t>
  </si>
  <si>
    <t>+145</t>
  </si>
  <si>
    <t>+281</t>
  </si>
  <si>
    <t>+284</t>
  </si>
  <si>
    <t>+96</t>
  </si>
  <si>
    <t>Protein Annotations – Shared Candidates</t>
  </si>
  <si>
    <t>UNIPROT</t>
  </si>
  <si>
    <t>Symbol</t>
  </si>
  <si>
    <t>Functional annotation</t>
  </si>
  <si>
    <t>P02751</t>
  </si>
  <si>
    <t>Major ECM glycoprotein; mediates cell adhesion, migration, invasion. Top CDS rank in PXD056161.</t>
  </si>
  <si>
    <t>P17301</t>
  </si>
  <si>
    <t>Integrin alpha-2; collagen/laminin receptor. Promotes TNBC invasion via ECM remodeling.</t>
  </si>
  <si>
    <t>P05556</t>
  </si>
  <si>
    <t>Integrin beta-1; broadly expressed adhesion subunit. Partners with multiple alpha subunits.</t>
  </si>
  <si>
    <t>P26006</t>
  </si>
  <si>
    <t>Integrin alpha-3; laminin receptor. Associated with TNBC metastasis and exosomal priming.</t>
  </si>
  <si>
    <t>P43121</t>
  </si>
  <si>
    <t>CD146; cell-cell and cell-matrix adhesion, angiogenesis marker.</t>
  </si>
  <si>
    <t>P06702</t>
  </si>
  <si>
    <t>Inflammatory calcium-binding protein; downregulated in TNBC exosomes vs normal.</t>
  </si>
  <si>
    <t>O00468</t>
  </si>
  <si>
    <t>Heparan sulfate proteoglycan; ECM organization, tumor microenvironment remodeling.</t>
  </si>
  <si>
    <t>P16070</t>
  </si>
  <si>
    <t>Hyaluronan receptor; cancer stem cell marker, promotes invasion and exosome secretion.</t>
  </si>
  <si>
    <t>P11047</t>
  </si>
  <si>
    <t>Laminin gamma-1 subunit; basement membrane component. Upregulated in TNBC exosomes.</t>
  </si>
  <si>
    <t>P55268</t>
  </si>
  <si>
    <t>Laminin beta-2; ECM structural protein. Top CDS rank in PXD012162 (rank 4).</t>
  </si>
  <si>
    <t>P98160</t>
  </si>
  <si>
    <t>Perlecan; large heparan sulfate proteoglycan in basement membranes and ECM.</t>
  </si>
  <si>
    <t>P23229</t>
  </si>
  <si>
    <t>Integrin alpha-6; laminin receptor. ⚠ Discordant direction between datasets.</t>
  </si>
  <si>
    <t>Q14103</t>
  </si>
  <si>
    <t>Heterogeneous nuclear ribonucleoprotein D; mRNA stability and decay regulation.</t>
  </si>
  <si>
    <t>Q08431</t>
  </si>
  <si>
    <t>Milk fat globule-EGF factor 8; exosome surface protein mediating immunosuppression.</t>
  </si>
  <si>
    <t>P61769</t>
  </si>
  <si>
    <t>Beta-2-microglobulin; MHC class I component, immune evasion marker.</t>
  </si>
  <si>
    <t>P14923</t>
  </si>
  <si>
    <t>Junction plakoglobin (gamma-catenin); desmosomal adhesion and Wnt signaling.</t>
  </si>
  <si>
    <t>P01111</t>
  </si>
  <si>
    <t>Neuroblastoma RAS GTPase; MAPK/PI3K signaling. ⚠ Discordant direction between datasets.</t>
  </si>
  <si>
    <t>Q08722</t>
  </si>
  <si>
    <t>'Don't eat me' signal; anti-phagocytic receptor, immune evasion on exosome surface.</t>
  </si>
  <si>
    <t>P0DP25</t>
  </si>
  <si>
    <t>Calmodulin-3; calcium sensor in multiple signaling pathways.</t>
  </si>
  <si>
    <t>P52292</t>
  </si>
  <si>
    <t>Importin alpha-2; nuclear import receptor, upregulated in various cancers.</t>
  </si>
  <si>
    <t>P16671</t>
  </si>
  <si>
    <t>Fatty acid translocase/scavenger receptor. Strongly downregulated in PXD012162.</t>
  </si>
  <si>
    <t>P62993</t>
  </si>
  <si>
    <t>Adaptor protein in EGFR/MAPK signaling. ⚠ Discordant direction between datasets.</t>
  </si>
  <si>
    <t>P30153</t>
  </si>
  <si>
    <t>PP2A regulatory subunit A; tumor suppressor phosphatase. ⚠ Discordant direction.</t>
  </si>
  <si>
    <t>O60610</t>
  </si>
  <si>
    <t>Diaphanous formin 1; actin polymerization and cytoskeletal remodeling.</t>
  </si>
  <si>
    <t>P26368</t>
  </si>
  <si>
    <t>U2AF65; pre-mRNA splicing factor. ⚠ Discordant direction between datasets.</t>
  </si>
  <si>
    <t>Supplementary – Full Data for All 25 Shared Proteins</t>
  </si>
  <si>
    <t>logFC_056</t>
  </si>
  <si>
    <t>FDR_056</t>
  </si>
  <si>
    <t>CDS_056</t>
  </si>
  <si>
    <t>Rank_056</t>
  </si>
  <si>
    <t>Robustness_056</t>
  </si>
  <si>
    <t>logFC_012</t>
  </si>
  <si>
    <t>FDR_012</t>
  </si>
  <si>
    <t>CDS_012</t>
  </si>
  <si>
    <t>Rank_012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</si>
</sst>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9"/>
      <color rgb="FF595959"/>
      <name val="Arial"/>
    </font>
    <font>
      <b/>
      <sz val="10"/>
      <color rgb="FF276221"/>
      <name val="Arial"/>
    </font>
    <font>
      <b/>
      <sz val="10"/>
      <color rgb="FF9C0006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DDEEFF"/>
      </patternFill>
    </fill>
    <fill>
      <patternFill patternType="solid">
        <fgColor rgb="FFFFF0CC"/>
      </patternFill>
    </fill>
    <fill>
      <patternFill patternType="solid">
        <fgColor rgb="FFE2EFDA"/>
      </patternFill>
    </fill>
    <fill>
      <patternFill patternType="solid">
        <fgColor rgb="FFF2CCFF"/>
      </patternFill>
    </fill>
    <fill>
      <patternFill patternType="solid">
        <fgColor rgb="FFFCE4EC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workbookViewId="0">
      <selection activeCell="A15" sqref="A15:F15"/>
    </sheetView>
  </sheetViews>
  <sheetFormatPr defaultRowHeight="15" x14ac:dyDescent="0.25"/>
  <cols>
    <col min="1" max="1" width="22" customWidth="1"/>
    <col min="2" max="2" width="42" customWidth="1"/>
    <col min="3" max="3" width="10" customWidth="1"/>
    <col min="4" max="4" width="13" customWidth="1"/>
    <col min="5" max="5" width="26.85546875" customWidth="1"/>
    <col min="6" max="6" width="27.42578125" customWidth="1"/>
  </cols>
  <sheetData>
    <row r="1" spans="1:6" ht="27.95" customHeight="1" x14ac:dyDescent="0.25">
      <c r="A1" s="35" t="s">
        <v>0</v>
      </c>
      <c r="B1" s="34"/>
      <c r="C1" s="34"/>
      <c r="D1" s="34"/>
      <c r="E1" s="34"/>
      <c r="F1" s="34"/>
    </row>
    <row r="2" spans="1:6" ht="20.100000000000001" customHeight="1" x14ac:dyDescent="0.25">
      <c r="A2" s="33" t="s">
        <v>1</v>
      </c>
      <c r="B2" s="34"/>
      <c r="C2" s="34"/>
      <c r="D2" s="34"/>
      <c r="E2" s="34"/>
      <c r="F2" s="34"/>
    </row>
    <row r="3" spans="1:6" ht="5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25">
      <c r="A4" s="2" t="s">
        <v>8</v>
      </c>
      <c r="B4" s="2" t="s">
        <v>9</v>
      </c>
      <c r="C4" s="2">
        <v>61</v>
      </c>
      <c r="D4" s="2">
        <v>60</v>
      </c>
      <c r="E4" s="2" t="s">
        <v>10</v>
      </c>
      <c r="F4" s="2" t="s">
        <v>11</v>
      </c>
    </row>
    <row r="5" spans="1:6" x14ac:dyDescent="0.25">
      <c r="A5" s="2" t="s">
        <v>12</v>
      </c>
      <c r="B5" s="2" t="s">
        <v>13</v>
      </c>
      <c r="C5" s="2">
        <v>426</v>
      </c>
      <c r="D5" s="2">
        <v>198</v>
      </c>
      <c r="E5" s="2" t="s">
        <v>14</v>
      </c>
      <c r="F5" s="2" t="s">
        <v>11</v>
      </c>
    </row>
    <row r="6" spans="1:6" ht="20.100000000000001" customHeight="1" x14ac:dyDescent="0.25">
      <c r="A6" s="33" t="s">
        <v>15</v>
      </c>
      <c r="B6" s="34"/>
      <c r="C6" s="34"/>
      <c r="D6" s="34"/>
      <c r="E6" s="34"/>
      <c r="F6" s="34"/>
    </row>
    <row r="7" spans="1:6" ht="25.5" x14ac:dyDescent="0.25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</row>
    <row r="8" spans="1:6" x14ac:dyDescent="0.25">
      <c r="A8" s="3" t="s">
        <v>22</v>
      </c>
      <c r="B8" s="3" t="s">
        <v>23</v>
      </c>
      <c r="C8" s="4">
        <v>12</v>
      </c>
      <c r="D8" s="4" t="s">
        <v>24</v>
      </c>
      <c r="E8" s="4">
        <v>11</v>
      </c>
      <c r="F8" s="4" t="s">
        <v>25</v>
      </c>
    </row>
    <row r="9" spans="1:6" x14ac:dyDescent="0.25">
      <c r="A9" s="5" t="s">
        <v>26</v>
      </c>
      <c r="B9" s="5" t="s">
        <v>27</v>
      </c>
      <c r="C9" s="6">
        <v>6</v>
      </c>
      <c r="D9" s="6" t="s">
        <v>28</v>
      </c>
      <c r="E9" s="6">
        <v>3</v>
      </c>
      <c r="F9" s="6" t="s">
        <v>29</v>
      </c>
    </row>
    <row r="10" spans="1:6" x14ac:dyDescent="0.25">
      <c r="A10" s="7" t="s">
        <v>30</v>
      </c>
      <c r="B10" s="7" t="s">
        <v>31</v>
      </c>
      <c r="C10" s="8">
        <v>3</v>
      </c>
      <c r="D10" s="8" t="s">
        <v>32</v>
      </c>
      <c r="E10" s="8">
        <v>3</v>
      </c>
      <c r="F10" s="8" t="s">
        <v>33</v>
      </c>
    </row>
    <row r="11" spans="1:6" x14ac:dyDescent="0.25">
      <c r="A11" s="9" t="s">
        <v>34</v>
      </c>
      <c r="B11" s="9" t="s">
        <v>35</v>
      </c>
      <c r="C11" s="10">
        <v>1</v>
      </c>
      <c r="D11" s="10" t="s">
        <v>36</v>
      </c>
      <c r="E11" s="10">
        <v>1</v>
      </c>
      <c r="F11" s="10" t="s">
        <v>33</v>
      </c>
    </row>
    <row r="12" spans="1:6" x14ac:dyDescent="0.25">
      <c r="A12" s="11" t="s">
        <v>37</v>
      </c>
      <c r="B12" s="11" t="s">
        <v>38</v>
      </c>
      <c r="C12" s="12">
        <v>3</v>
      </c>
      <c r="D12" s="12" t="s">
        <v>32</v>
      </c>
      <c r="E12" s="12">
        <v>2</v>
      </c>
      <c r="F12" s="12" t="s">
        <v>39</v>
      </c>
    </row>
    <row r="13" spans="1:6" x14ac:dyDescent="0.25">
      <c r="A13" s="13" t="s">
        <v>40</v>
      </c>
      <c r="B13" s="13" t="s">
        <v>41</v>
      </c>
      <c r="C13" s="14">
        <v>25</v>
      </c>
      <c r="D13" s="14" t="s">
        <v>33</v>
      </c>
      <c r="E13" s="14">
        <v>20</v>
      </c>
      <c r="F13" s="14" t="s">
        <v>42</v>
      </c>
    </row>
    <row r="15" spans="1:6" ht="32.1" customHeight="1" x14ac:dyDescent="0.25">
      <c r="A15" s="36" t="s">
        <v>43</v>
      </c>
      <c r="B15" s="34"/>
      <c r="C15" s="34"/>
      <c r="D15" s="34"/>
      <c r="E15" s="34"/>
      <c r="F15" s="34"/>
    </row>
  </sheetData>
  <mergeCells count="4">
    <mergeCell ref="A2:F2"/>
    <mergeCell ref="A6:F6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showGridLines="0" zoomScale="85" zoomScaleNormal="85" workbookViewId="0">
      <selection sqref="A1:H1"/>
    </sheetView>
  </sheetViews>
  <sheetFormatPr defaultRowHeight="15" x14ac:dyDescent="0.25"/>
  <cols>
    <col min="1" max="1" width="10" customWidth="1"/>
    <col min="2" max="2" width="22" customWidth="1"/>
    <col min="3" max="3" width="16" customWidth="1"/>
    <col min="4" max="4" width="18" customWidth="1"/>
    <col min="5" max="5" width="8" customWidth="1"/>
    <col min="6" max="6" width="18" customWidth="1"/>
    <col min="7" max="7" width="8" customWidth="1"/>
    <col min="8" max="8" width="12" customWidth="1"/>
  </cols>
  <sheetData>
    <row r="1" spans="1:8" ht="27.95" customHeight="1" x14ac:dyDescent="0.25">
      <c r="A1" s="35" t="s">
        <v>44</v>
      </c>
      <c r="B1" s="34"/>
      <c r="C1" s="34"/>
      <c r="D1" s="34"/>
      <c r="E1" s="34"/>
      <c r="F1" s="34"/>
      <c r="G1" s="34"/>
      <c r="H1" s="34"/>
    </row>
    <row r="2" spans="1:8" ht="25.5" x14ac:dyDescent="0.25">
      <c r="A2" s="1" t="s">
        <v>45</v>
      </c>
      <c r="B2" s="1" t="s">
        <v>16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48</v>
      </c>
      <c r="H2" s="1" t="s">
        <v>50</v>
      </c>
    </row>
    <row r="3" spans="1:8" x14ac:dyDescent="0.25">
      <c r="A3" s="3" t="s">
        <v>51</v>
      </c>
      <c r="B3" s="3" t="s">
        <v>22</v>
      </c>
      <c r="C3" s="3" t="s">
        <v>52</v>
      </c>
      <c r="D3" s="15">
        <v>5.7119999999999997</v>
      </c>
      <c r="E3" s="4" t="s">
        <v>53</v>
      </c>
      <c r="F3" s="15">
        <v>3.5379999999999998</v>
      </c>
      <c r="G3" s="4" t="s">
        <v>53</v>
      </c>
      <c r="H3" s="16" t="s">
        <v>54</v>
      </c>
    </row>
    <row r="4" spans="1:8" x14ac:dyDescent="0.25">
      <c r="A4" s="3" t="s">
        <v>55</v>
      </c>
      <c r="B4" s="3" t="s">
        <v>22</v>
      </c>
      <c r="C4" s="3" t="s">
        <v>56</v>
      </c>
      <c r="D4" s="15">
        <v>3.95</v>
      </c>
      <c r="E4" s="4" t="s">
        <v>53</v>
      </c>
      <c r="F4" s="15">
        <v>3.0339999999999998</v>
      </c>
      <c r="G4" s="4" t="s">
        <v>53</v>
      </c>
      <c r="H4" s="16" t="s">
        <v>54</v>
      </c>
    </row>
    <row r="5" spans="1:8" x14ac:dyDescent="0.25">
      <c r="A5" s="3" t="s">
        <v>57</v>
      </c>
      <c r="B5" s="3" t="s">
        <v>22</v>
      </c>
      <c r="C5" s="3" t="s">
        <v>56</v>
      </c>
      <c r="D5" s="15">
        <v>3.05</v>
      </c>
      <c r="E5" s="4" t="s">
        <v>53</v>
      </c>
      <c r="F5" s="15">
        <v>3.3210000000000002</v>
      </c>
      <c r="G5" s="4" t="s">
        <v>53</v>
      </c>
      <c r="H5" s="16" t="s">
        <v>54</v>
      </c>
    </row>
    <row r="6" spans="1:8" x14ac:dyDescent="0.25">
      <c r="A6" s="3" t="s">
        <v>58</v>
      </c>
      <c r="B6" s="3" t="s">
        <v>22</v>
      </c>
      <c r="C6" s="3" t="s">
        <v>56</v>
      </c>
      <c r="D6" s="15">
        <v>3.226</v>
      </c>
      <c r="E6" s="4" t="s">
        <v>53</v>
      </c>
      <c r="F6" s="15">
        <v>3.556</v>
      </c>
      <c r="G6" s="4" t="s">
        <v>53</v>
      </c>
      <c r="H6" s="16" t="s">
        <v>54</v>
      </c>
    </row>
    <row r="7" spans="1:8" x14ac:dyDescent="0.25">
      <c r="A7" s="3" t="s">
        <v>59</v>
      </c>
      <c r="B7" s="3" t="s">
        <v>22</v>
      </c>
      <c r="C7" s="3" t="s">
        <v>52</v>
      </c>
      <c r="D7" s="15">
        <v>4.5940000000000003</v>
      </c>
      <c r="E7" s="4" t="s">
        <v>53</v>
      </c>
      <c r="F7" s="15">
        <v>3.923</v>
      </c>
      <c r="G7" s="4" t="s">
        <v>53</v>
      </c>
      <c r="H7" s="16" t="s">
        <v>54</v>
      </c>
    </row>
    <row r="8" spans="1:8" x14ac:dyDescent="0.25">
      <c r="A8" s="5" t="s">
        <v>60</v>
      </c>
      <c r="B8" s="5" t="s">
        <v>26</v>
      </c>
      <c r="C8" s="5" t="s">
        <v>52</v>
      </c>
      <c r="D8" s="17">
        <v>-4.9480000000000004</v>
      </c>
      <c r="E8" s="6" t="s">
        <v>61</v>
      </c>
      <c r="F8" s="17">
        <v>-4.0709999999999997</v>
      </c>
      <c r="G8" s="6" t="s">
        <v>61</v>
      </c>
      <c r="H8" s="16" t="s">
        <v>54</v>
      </c>
    </row>
    <row r="9" spans="1:8" x14ac:dyDescent="0.25">
      <c r="A9" s="3" t="s">
        <v>62</v>
      </c>
      <c r="B9" s="3" t="s">
        <v>22</v>
      </c>
      <c r="C9" s="3" t="s">
        <v>52</v>
      </c>
      <c r="D9" s="15">
        <v>2.976</v>
      </c>
      <c r="E9" s="4" t="s">
        <v>53</v>
      </c>
      <c r="F9" s="15">
        <v>3.4260000000000002</v>
      </c>
      <c r="G9" s="4" t="s">
        <v>53</v>
      </c>
      <c r="H9" s="16" t="s">
        <v>54</v>
      </c>
    </row>
    <row r="10" spans="1:8" x14ac:dyDescent="0.25">
      <c r="A10" s="3" t="s">
        <v>63</v>
      </c>
      <c r="B10" s="3" t="s">
        <v>22</v>
      </c>
      <c r="C10" s="3" t="s">
        <v>52</v>
      </c>
      <c r="D10" s="15">
        <v>1.7090000000000001</v>
      </c>
      <c r="E10" s="4" t="s">
        <v>53</v>
      </c>
      <c r="F10" s="15">
        <v>1.6679999999999999</v>
      </c>
      <c r="G10" s="4" t="s">
        <v>53</v>
      </c>
      <c r="H10" s="16" t="s">
        <v>54</v>
      </c>
    </row>
    <row r="11" spans="1:8" x14ac:dyDescent="0.25">
      <c r="A11" s="3" t="s">
        <v>64</v>
      </c>
      <c r="B11" s="3" t="s">
        <v>22</v>
      </c>
      <c r="C11" s="3" t="s">
        <v>52</v>
      </c>
      <c r="D11" s="15">
        <v>2.15</v>
      </c>
      <c r="E11" s="4" t="s">
        <v>53</v>
      </c>
      <c r="F11" s="15">
        <v>2.944</v>
      </c>
      <c r="G11" s="4" t="s">
        <v>53</v>
      </c>
      <c r="H11" s="16" t="s">
        <v>54</v>
      </c>
    </row>
    <row r="12" spans="1:8" x14ac:dyDescent="0.25">
      <c r="A12" s="3" t="s">
        <v>65</v>
      </c>
      <c r="B12" s="3" t="s">
        <v>22</v>
      </c>
      <c r="C12" s="3" t="s">
        <v>52</v>
      </c>
      <c r="D12" s="15">
        <v>2.8420000000000001</v>
      </c>
      <c r="E12" s="4" t="s">
        <v>53</v>
      </c>
      <c r="F12" s="15">
        <v>7.944</v>
      </c>
      <c r="G12" s="4" t="s">
        <v>53</v>
      </c>
      <c r="H12" s="16" t="s">
        <v>54</v>
      </c>
    </row>
    <row r="13" spans="1:8" x14ac:dyDescent="0.25">
      <c r="A13" s="3" t="s">
        <v>66</v>
      </c>
      <c r="B13" s="3" t="s">
        <v>22</v>
      </c>
      <c r="C13" s="3" t="s">
        <v>52</v>
      </c>
      <c r="D13" s="15">
        <v>2.117</v>
      </c>
      <c r="E13" s="4" t="s">
        <v>53</v>
      </c>
      <c r="F13" s="15">
        <v>2.806</v>
      </c>
      <c r="G13" s="4" t="s">
        <v>53</v>
      </c>
      <c r="H13" s="16" t="s">
        <v>54</v>
      </c>
    </row>
    <row r="14" spans="1:8" x14ac:dyDescent="0.25">
      <c r="A14" s="3" t="s">
        <v>67</v>
      </c>
      <c r="B14" s="3" t="s">
        <v>22</v>
      </c>
      <c r="C14" s="3" t="s">
        <v>56</v>
      </c>
      <c r="D14" s="15">
        <v>1.5620000000000001</v>
      </c>
      <c r="E14" s="4" t="s">
        <v>53</v>
      </c>
      <c r="F14" s="15">
        <v>-0.17499999999999999</v>
      </c>
      <c r="G14" s="4" t="s">
        <v>61</v>
      </c>
      <c r="H14" s="18" t="s">
        <v>68</v>
      </c>
    </row>
    <row r="15" spans="1:8" x14ac:dyDescent="0.25">
      <c r="A15" s="11" t="s">
        <v>69</v>
      </c>
      <c r="B15" s="11" t="s">
        <v>37</v>
      </c>
      <c r="C15" s="11" t="s">
        <v>70</v>
      </c>
      <c r="D15" s="19">
        <v>-2.2679999999999998</v>
      </c>
      <c r="E15" s="12" t="s">
        <v>61</v>
      </c>
      <c r="F15" s="19">
        <v>-1.5449999999999999</v>
      </c>
      <c r="G15" s="12" t="s">
        <v>61</v>
      </c>
      <c r="H15" s="16" t="s">
        <v>54</v>
      </c>
    </row>
    <row r="16" spans="1:8" x14ac:dyDescent="0.25">
      <c r="A16" s="3" t="s">
        <v>71</v>
      </c>
      <c r="B16" s="3" t="s">
        <v>22</v>
      </c>
      <c r="C16" s="3" t="s">
        <v>52</v>
      </c>
      <c r="D16" s="15">
        <v>2.3570000000000002</v>
      </c>
      <c r="E16" s="4" t="s">
        <v>53</v>
      </c>
      <c r="F16" s="15">
        <v>1.6240000000000001</v>
      </c>
      <c r="G16" s="4" t="s">
        <v>53</v>
      </c>
      <c r="H16" s="16" t="s">
        <v>54</v>
      </c>
    </row>
    <row r="17" spans="1:8" x14ac:dyDescent="0.25">
      <c r="A17" s="5" t="s">
        <v>72</v>
      </c>
      <c r="B17" s="5" t="s">
        <v>26</v>
      </c>
      <c r="C17" s="5" t="s">
        <v>52</v>
      </c>
      <c r="D17" s="17">
        <v>2.262</v>
      </c>
      <c r="E17" s="6" t="s">
        <v>53</v>
      </c>
      <c r="F17" s="17">
        <v>2.2000000000000002</v>
      </c>
      <c r="G17" s="6" t="s">
        <v>53</v>
      </c>
      <c r="H17" s="16" t="s">
        <v>54</v>
      </c>
    </row>
    <row r="18" spans="1:8" x14ac:dyDescent="0.25">
      <c r="A18" s="7" t="s">
        <v>73</v>
      </c>
      <c r="B18" s="7" t="s">
        <v>30</v>
      </c>
      <c r="C18" s="7" t="s">
        <v>52</v>
      </c>
      <c r="D18" s="20">
        <v>-2.2109999999999999</v>
      </c>
      <c r="E18" s="8" t="s">
        <v>61</v>
      </c>
      <c r="F18" s="20">
        <v>-2.1659999999999999</v>
      </c>
      <c r="G18" s="8" t="s">
        <v>61</v>
      </c>
      <c r="H18" s="16" t="s">
        <v>54</v>
      </c>
    </row>
    <row r="19" spans="1:8" x14ac:dyDescent="0.25">
      <c r="A19" s="5" t="s">
        <v>74</v>
      </c>
      <c r="B19" s="5" t="s">
        <v>26</v>
      </c>
      <c r="C19" s="5" t="s">
        <v>56</v>
      </c>
      <c r="D19" s="17">
        <v>1.522</v>
      </c>
      <c r="E19" s="6" t="s">
        <v>53</v>
      </c>
      <c r="F19" s="17">
        <v>-1.6379999999999999</v>
      </c>
      <c r="G19" s="6" t="s">
        <v>61</v>
      </c>
      <c r="H19" s="18" t="s">
        <v>68</v>
      </c>
    </row>
    <row r="20" spans="1:8" x14ac:dyDescent="0.25">
      <c r="A20" s="9" t="s">
        <v>35</v>
      </c>
      <c r="B20" s="9" t="s">
        <v>34</v>
      </c>
      <c r="C20" s="9" t="s">
        <v>56</v>
      </c>
      <c r="D20" s="21">
        <v>0.97699999999999998</v>
      </c>
      <c r="E20" s="10" t="s">
        <v>53</v>
      </c>
      <c r="F20" s="21">
        <v>1.1599999999999999</v>
      </c>
      <c r="G20" s="10" t="s">
        <v>53</v>
      </c>
      <c r="H20" s="16" t="s">
        <v>54</v>
      </c>
    </row>
    <row r="21" spans="1:8" x14ac:dyDescent="0.25">
      <c r="A21" s="7" t="s">
        <v>75</v>
      </c>
      <c r="B21" s="7" t="s">
        <v>30</v>
      </c>
      <c r="C21" s="7" t="s">
        <v>56</v>
      </c>
      <c r="D21" s="20">
        <v>-0.34399999999999997</v>
      </c>
      <c r="E21" s="8" t="s">
        <v>61</v>
      </c>
      <c r="F21" s="20">
        <v>-0.85199999999999998</v>
      </c>
      <c r="G21" s="8" t="s">
        <v>61</v>
      </c>
      <c r="H21" s="16" t="s">
        <v>54</v>
      </c>
    </row>
    <row r="22" spans="1:8" x14ac:dyDescent="0.25">
      <c r="A22" s="11" t="s">
        <v>76</v>
      </c>
      <c r="B22" s="11" t="s">
        <v>37</v>
      </c>
      <c r="C22" s="11" t="s">
        <v>70</v>
      </c>
      <c r="D22" s="19">
        <v>1.5049999999999999</v>
      </c>
      <c r="E22" s="12" t="s">
        <v>53</v>
      </c>
      <c r="F22" s="19">
        <v>1.8740000000000001</v>
      </c>
      <c r="G22" s="12" t="s">
        <v>53</v>
      </c>
      <c r="H22" s="16" t="s">
        <v>54</v>
      </c>
    </row>
    <row r="23" spans="1:8" x14ac:dyDescent="0.25">
      <c r="A23" s="5" t="s">
        <v>77</v>
      </c>
      <c r="B23" s="5" t="s">
        <v>26</v>
      </c>
      <c r="C23" s="5" t="s">
        <v>52</v>
      </c>
      <c r="D23" s="17">
        <v>-0.16200000000000001</v>
      </c>
      <c r="E23" s="6" t="s">
        <v>61</v>
      </c>
      <c r="F23" s="17">
        <v>-5.3609999999999998</v>
      </c>
      <c r="G23" s="6" t="s">
        <v>61</v>
      </c>
      <c r="H23" s="16" t="s">
        <v>54</v>
      </c>
    </row>
    <row r="24" spans="1:8" x14ac:dyDescent="0.25">
      <c r="A24" s="5" t="s">
        <v>78</v>
      </c>
      <c r="B24" s="5" t="s">
        <v>26</v>
      </c>
      <c r="C24" s="5" t="s">
        <v>56</v>
      </c>
      <c r="D24" s="17">
        <v>0.192</v>
      </c>
      <c r="E24" s="6" t="s">
        <v>53</v>
      </c>
      <c r="F24" s="17">
        <v>-0.89600000000000002</v>
      </c>
      <c r="G24" s="6" t="s">
        <v>61</v>
      </c>
      <c r="H24" s="18" t="s">
        <v>68</v>
      </c>
    </row>
    <row r="25" spans="1:8" x14ac:dyDescent="0.25">
      <c r="A25" s="5" t="s">
        <v>79</v>
      </c>
      <c r="B25" s="5" t="s">
        <v>26</v>
      </c>
      <c r="C25" s="5" t="s">
        <v>56</v>
      </c>
      <c r="D25" s="17">
        <v>0.69199999999999995</v>
      </c>
      <c r="E25" s="6" t="s">
        <v>53</v>
      </c>
      <c r="F25" s="17">
        <v>-0.48399999999999999</v>
      </c>
      <c r="G25" s="6" t="s">
        <v>61</v>
      </c>
      <c r="H25" s="18" t="s">
        <v>68</v>
      </c>
    </row>
    <row r="26" spans="1:8" x14ac:dyDescent="0.25">
      <c r="A26" s="7" t="s">
        <v>80</v>
      </c>
      <c r="B26" s="7" t="s">
        <v>30</v>
      </c>
      <c r="C26" s="7" t="s">
        <v>56</v>
      </c>
      <c r="D26" s="20">
        <v>-5.1999999999999998E-2</v>
      </c>
      <c r="E26" s="8" t="s">
        <v>61</v>
      </c>
      <c r="F26" s="20">
        <v>-1.456</v>
      </c>
      <c r="G26" s="8" t="s">
        <v>61</v>
      </c>
      <c r="H26" s="16" t="s">
        <v>54</v>
      </c>
    </row>
    <row r="27" spans="1:8" x14ac:dyDescent="0.25">
      <c r="A27" s="11" t="s">
        <v>81</v>
      </c>
      <c r="B27" s="11" t="s">
        <v>37</v>
      </c>
      <c r="C27" s="11" t="s">
        <v>70</v>
      </c>
      <c r="D27" s="19">
        <v>2.4E-2</v>
      </c>
      <c r="E27" s="12" t="s">
        <v>53</v>
      </c>
      <c r="F27" s="19">
        <v>-1.45</v>
      </c>
      <c r="G27" s="12" t="s">
        <v>61</v>
      </c>
      <c r="H27" s="18" t="s">
        <v>68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showGridLines="0" zoomScale="85" zoomScaleNormal="85" workbookViewId="0">
      <selection sqref="A1:H1"/>
    </sheetView>
  </sheetViews>
  <sheetFormatPr defaultRowHeight="15" x14ac:dyDescent="0.25"/>
  <cols>
    <col min="1" max="1" width="10" customWidth="1"/>
    <col min="2" max="2" width="22" customWidth="1"/>
    <col min="3" max="3" width="16" customWidth="1"/>
    <col min="4" max="4" width="12" customWidth="1"/>
    <col min="5" max="5" width="16" customWidth="1"/>
    <col min="6" max="7" width="12" customWidth="1"/>
    <col min="8" max="8" width="26" customWidth="1"/>
  </cols>
  <sheetData>
    <row r="1" spans="1:8" ht="27.95" customHeight="1" x14ac:dyDescent="0.25">
      <c r="A1" s="35" t="s">
        <v>82</v>
      </c>
      <c r="B1" s="34"/>
      <c r="C1" s="34"/>
      <c r="D1" s="34"/>
      <c r="E1" s="34"/>
      <c r="F1" s="34"/>
      <c r="G1" s="34"/>
      <c r="H1" s="34"/>
    </row>
    <row r="2" spans="1:8" ht="38.25" x14ac:dyDescent="0.25">
      <c r="A2" s="1" t="s">
        <v>45</v>
      </c>
      <c r="B2" s="1" t="s">
        <v>16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</row>
    <row r="3" spans="1:8" x14ac:dyDescent="0.25">
      <c r="A3" s="3" t="s">
        <v>51</v>
      </c>
      <c r="B3" s="3" t="s">
        <v>22</v>
      </c>
      <c r="C3" s="22">
        <v>0.9073</v>
      </c>
      <c r="D3" s="4">
        <v>1</v>
      </c>
      <c r="E3" s="22">
        <v>0.52390000000000003</v>
      </c>
      <c r="F3" s="4">
        <v>21</v>
      </c>
      <c r="G3" s="4" t="s">
        <v>89</v>
      </c>
      <c r="H3" s="23" t="s">
        <v>90</v>
      </c>
    </row>
    <row r="4" spans="1:8" x14ac:dyDescent="0.25">
      <c r="A4" s="3" t="s">
        <v>55</v>
      </c>
      <c r="B4" s="3" t="s">
        <v>22</v>
      </c>
      <c r="C4" s="22">
        <v>0.69430000000000003</v>
      </c>
      <c r="D4" s="4">
        <v>2</v>
      </c>
      <c r="E4" s="22">
        <v>0.42030000000000001</v>
      </c>
      <c r="F4" s="4">
        <v>54</v>
      </c>
      <c r="G4" s="4" t="s">
        <v>91</v>
      </c>
      <c r="H4" s="23" t="s">
        <v>90</v>
      </c>
    </row>
    <row r="5" spans="1:8" x14ac:dyDescent="0.25">
      <c r="A5" s="3" t="s">
        <v>57</v>
      </c>
      <c r="B5" s="3" t="s">
        <v>22</v>
      </c>
      <c r="C5" s="22">
        <v>0.65869999999999995</v>
      </c>
      <c r="D5" s="4">
        <v>3</v>
      </c>
      <c r="E5" s="22">
        <v>0.49490000000000001</v>
      </c>
      <c r="F5" s="4">
        <v>27</v>
      </c>
      <c r="G5" s="4" t="s">
        <v>92</v>
      </c>
      <c r="H5" s="23" t="s">
        <v>90</v>
      </c>
    </row>
    <row r="6" spans="1:8" x14ac:dyDescent="0.25">
      <c r="A6" s="3" t="s">
        <v>58</v>
      </c>
      <c r="B6" s="3" t="s">
        <v>22</v>
      </c>
      <c r="C6" s="22">
        <v>0.62060000000000004</v>
      </c>
      <c r="D6" s="4">
        <v>4</v>
      </c>
      <c r="E6" s="22">
        <v>0.442</v>
      </c>
      <c r="F6" s="4">
        <v>44</v>
      </c>
      <c r="G6" s="4" t="s">
        <v>93</v>
      </c>
      <c r="H6" s="23" t="s">
        <v>90</v>
      </c>
    </row>
    <row r="7" spans="1:8" x14ac:dyDescent="0.25">
      <c r="A7" s="3" t="s">
        <v>59</v>
      </c>
      <c r="B7" s="3" t="s">
        <v>22</v>
      </c>
      <c r="C7" s="22">
        <v>0.60529999999999995</v>
      </c>
      <c r="D7" s="4">
        <v>6</v>
      </c>
      <c r="E7" s="22">
        <v>0.30059999999999998</v>
      </c>
      <c r="F7" s="4">
        <v>150</v>
      </c>
      <c r="G7" s="4" t="s">
        <v>94</v>
      </c>
      <c r="H7" s="23" t="s">
        <v>90</v>
      </c>
    </row>
    <row r="8" spans="1:8" x14ac:dyDescent="0.25">
      <c r="A8" s="5" t="s">
        <v>60</v>
      </c>
      <c r="B8" s="5" t="s">
        <v>26</v>
      </c>
      <c r="C8" s="24">
        <v>0.59950000000000003</v>
      </c>
      <c r="D8" s="6">
        <v>7</v>
      </c>
      <c r="E8" s="24">
        <v>0.38529999999999998</v>
      </c>
      <c r="F8" s="6">
        <v>64</v>
      </c>
      <c r="G8" s="6" t="s">
        <v>95</v>
      </c>
      <c r="H8" s="23" t="s">
        <v>90</v>
      </c>
    </row>
    <row r="9" spans="1:8" x14ac:dyDescent="0.25">
      <c r="A9" s="3" t="s">
        <v>62</v>
      </c>
      <c r="B9" s="3" t="s">
        <v>22</v>
      </c>
      <c r="C9" s="22">
        <v>0.50539999999999996</v>
      </c>
      <c r="D9" s="4">
        <v>9</v>
      </c>
      <c r="E9" s="22">
        <v>0.37780000000000002</v>
      </c>
      <c r="F9" s="4">
        <v>68</v>
      </c>
      <c r="G9" s="4" t="s">
        <v>96</v>
      </c>
      <c r="H9" s="23" t="s">
        <v>90</v>
      </c>
    </row>
    <row r="10" spans="1:8" x14ac:dyDescent="0.25">
      <c r="A10" s="3" t="s">
        <v>63</v>
      </c>
      <c r="B10" s="3" t="s">
        <v>22</v>
      </c>
      <c r="C10" s="22">
        <v>0.48770000000000002</v>
      </c>
      <c r="D10" s="4">
        <v>11</v>
      </c>
      <c r="E10" s="22">
        <v>0.36770000000000003</v>
      </c>
      <c r="F10" s="4">
        <v>76</v>
      </c>
      <c r="G10" s="4" t="s">
        <v>97</v>
      </c>
      <c r="H10" s="23" t="s">
        <v>90</v>
      </c>
    </row>
    <row r="11" spans="1:8" x14ac:dyDescent="0.25">
      <c r="A11" s="3" t="s">
        <v>64</v>
      </c>
      <c r="B11" s="3" t="s">
        <v>22</v>
      </c>
      <c r="C11" s="22">
        <v>0.47420000000000001</v>
      </c>
      <c r="D11" s="4">
        <v>12</v>
      </c>
      <c r="E11" s="22">
        <v>0.38919999999999999</v>
      </c>
      <c r="F11" s="4">
        <v>63</v>
      </c>
      <c r="G11" s="4" t="s">
        <v>98</v>
      </c>
      <c r="H11" s="23" t="s">
        <v>90</v>
      </c>
    </row>
    <row r="12" spans="1:8" x14ac:dyDescent="0.25">
      <c r="A12" s="3" t="s">
        <v>65</v>
      </c>
      <c r="B12" s="3" t="s">
        <v>22</v>
      </c>
      <c r="C12" s="22">
        <v>0.46410000000000001</v>
      </c>
      <c r="D12" s="4">
        <v>14</v>
      </c>
      <c r="E12" s="22">
        <v>0.6522</v>
      </c>
      <c r="F12" s="4">
        <v>4</v>
      </c>
      <c r="G12" s="4" t="s">
        <v>99</v>
      </c>
      <c r="H12" s="23" t="s">
        <v>90</v>
      </c>
    </row>
    <row r="13" spans="1:8" x14ac:dyDescent="0.25">
      <c r="A13" s="3" t="s">
        <v>66</v>
      </c>
      <c r="B13" s="3" t="s">
        <v>22</v>
      </c>
      <c r="C13" s="22">
        <v>0.4617</v>
      </c>
      <c r="D13" s="4">
        <v>15</v>
      </c>
      <c r="E13" s="22">
        <v>0.35830000000000001</v>
      </c>
      <c r="F13" s="4">
        <v>81</v>
      </c>
      <c r="G13" s="4" t="s">
        <v>100</v>
      </c>
      <c r="H13" s="23" t="s">
        <v>90</v>
      </c>
    </row>
    <row r="14" spans="1:8" x14ac:dyDescent="0.25">
      <c r="A14" s="3" t="s">
        <v>67</v>
      </c>
      <c r="B14" s="3" t="s">
        <v>22</v>
      </c>
      <c r="C14" s="22">
        <v>0.44009999999999999</v>
      </c>
      <c r="D14" s="4">
        <v>17</v>
      </c>
      <c r="E14" s="22">
        <v>0.2006</v>
      </c>
      <c r="F14" s="4">
        <v>313</v>
      </c>
      <c r="G14" s="4" t="s">
        <v>101</v>
      </c>
      <c r="H14" s="23" t="s">
        <v>90</v>
      </c>
    </row>
    <row r="15" spans="1:8" x14ac:dyDescent="0.25">
      <c r="A15" s="11" t="s">
        <v>69</v>
      </c>
      <c r="B15" s="11" t="s">
        <v>37</v>
      </c>
      <c r="C15" s="25">
        <v>0.4229</v>
      </c>
      <c r="D15" s="12">
        <v>18</v>
      </c>
      <c r="E15" s="25">
        <v>0.26900000000000002</v>
      </c>
      <c r="F15" s="12">
        <v>211</v>
      </c>
      <c r="G15" s="12" t="s">
        <v>102</v>
      </c>
      <c r="H15" s="23" t="s">
        <v>90</v>
      </c>
    </row>
    <row r="16" spans="1:8" x14ac:dyDescent="0.25">
      <c r="A16" s="3" t="s">
        <v>71</v>
      </c>
      <c r="B16" s="3" t="s">
        <v>22</v>
      </c>
      <c r="C16" s="22">
        <v>0.3795</v>
      </c>
      <c r="D16" s="4">
        <v>19</v>
      </c>
      <c r="E16" s="22">
        <v>0.21190000000000001</v>
      </c>
      <c r="F16" s="4">
        <v>295</v>
      </c>
      <c r="G16" s="4" t="s">
        <v>103</v>
      </c>
      <c r="H16" s="23" t="s">
        <v>90</v>
      </c>
    </row>
    <row r="17" spans="1:8" x14ac:dyDescent="0.25">
      <c r="A17" s="5" t="s">
        <v>72</v>
      </c>
      <c r="B17" s="5" t="s">
        <v>26</v>
      </c>
      <c r="C17" s="24">
        <v>0.3478</v>
      </c>
      <c r="D17" s="6">
        <v>23</v>
      </c>
      <c r="E17" s="24">
        <v>0.32850000000000001</v>
      </c>
      <c r="F17" s="6">
        <v>110</v>
      </c>
      <c r="G17" s="6" t="s">
        <v>104</v>
      </c>
      <c r="H17" s="6" t="s">
        <v>105</v>
      </c>
    </row>
    <row r="18" spans="1:8" x14ac:dyDescent="0.25">
      <c r="A18" s="7" t="s">
        <v>73</v>
      </c>
      <c r="B18" s="7" t="s">
        <v>30</v>
      </c>
      <c r="C18" s="26">
        <v>0.3085</v>
      </c>
      <c r="D18" s="8">
        <v>26</v>
      </c>
      <c r="E18" s="26">
        <v>0.30030000000000001</v>
      </c>
      <c r="F18" s="8">
        <v>153</v>
      </c>
      <c r="G18" s="8" t="s">
        <v>106</v>
      </c>
      <c r="H18" s="6" t="s">
        <v>105</v>
      </c>
    </row>
    <row r="19" spans="1:8" x14ac:dyDescent="0.25">
      <c r="A19" s="5" t="s">
        <v>74</v>
      </c>
      <c r="B19" s="5" t="s">
        <v>26</v>
      </c>
      <c r="C19" s="24">
        <v>0.27389999999999998</v>
      </c>
      <c r="D19" s="6">
        <v>28</v>
      </c>
      <c r="E19" s="24">
        <v>0.28349999999999997</v>
      </c>
      <c r="F19" s="6">
        <v>174</v>
      </c>
      <c r="G19" s="6" t="s">
        <v>107</v>
      </c>
      <c r="H19" s="23" t="s">
        <v>90</v>
      </c>
    </row>
    <row r="20" spans="1:8" x14ac:dyDescent="0.25">
      <c r="A20" s="9" t="s">
        <v>35</v>
      </c>
      <c r="B20" s="9" t="s">
        <v>34</v>
      </c>
      <c r="C20" s="27">
        <v>0.24340000000000001</v>
      </c>
      <c r="D20" s="10">
        <v>30</v>
      </c>
      <c r="E20" s="27">
        <v>0.2077</v>
      </c>
      <c r="F20" s="10">
        <v>299</v>
      </c>
      <c r="G20" s="10" t="s">
        <v>108</v>
      </c>
      <c r="H20" s="23" t="s">
        <v>90</v>
      </c>
    </row>
    <row r="21" spans="1:8" x14ac:dyDescent="0.25">
      <c r="A21" s="7" t="s">
        <v>75</v>
      </c>
      <c r="B21" s="7" t="s">
        <v>30</v>
      </c>
      <c r="C21" s="26">
        <v>0.21029999999999999</v>
      </c>
      <c r="D21" s="8">
        <v>33</v>
      </c>
      <c r="E21" s="26">
        <v>0.26679999999999998</v>
      </c>
      <c r="F21" s="8">
        <v>221</v>
      </c>
      <c r="G21" s="8" t="s">
        <v>109</v>
      </c>
      <c r="H21" s="23" t="s">
        <v>90</v>
      </c>
    </row>
    <row r="22" spans="1:8" x14ac:dyDescent="0.25">
      <c r="A22" s="11" t="s">
        <v>76</v>
      </c>
      <c r="B22" s="11" t="s">
        <v>37</v>
      </c>
      <c r="C22" s="25">
        <v>0.1981</v>
      </c>
      <c r="D22" s="12">
        <v>35</v>
      </c>
      <c r="E22" s="25">
        <v>0.25380000000000003</v>
      </c>
      <c r="F22" s="12">
        <v>244</v>
      </c>
      <c r="G22" s="12" t="s">
        <v>110</v>
      </c>
      <c r="H22" s="6" t="s">
        <v>105</v>
      </c>
    </row>
    <row r="23" spans="1:8" x14ac:dyDescent="0.25">
      <c r="A23" s="5" t="s">
        <v>77</v>
      </c>
      <c r="B23" s="5" t="s">
        <v>26</v>
      </c>
      <c r="C23" s="24">
        <v>0.1711</v>
      </c>
      <c r="D23" s="6">
        <v>41</v>
      </c>
      <c r="E23" s="24">
        <v>0.54349999999999998</v>
      </c>
      <c r="F23" s="6">
        <v>18</v>
      </c>
      <c r="G23" s="6" t="s">
        <v>111</v>
      </c>
      <c r="H23" s="23" t="s">
        <v>90</v>
      </c>
    </row>
    <row r="24" spans="1:8" x14ac:dyDescent="0.25">
      <c r="A24" s="5" t="s">
        <v>78</v>
      </c>
      <c r="B24" s="5" t="s">
        <v>26</v>
      </c>
      <c r="C24" s="24">
        <v>0.14530000000000001</v>
      </c>
      <c r="D24" s="6">
        <v>47</v>
      </c>
      <c r="E24" s="24">
        <v>0.27579999999999999</v>
      </c>
      <c r="F24" s="6">
        <v>192</v>
      </c>
      <c r="G24" s="6" t="s">
        <v>112</v>
      </c>
      <c r="H24" s="23" t="s">
        <v>90</v>
      </c>
    </row>
    <row r="25" spans="1:8" x14ac:dyDescent="0.25">
      <c r="A25" s="5" t="s">
        <v>79</v>
      </c>
      <c r="B25" s="5" t="s">
        <v>26</v>
      </c>
      <c r="C25" s="24">
        <v>0.1147</v>
      </c>
      <c r="D25" s="6">
        <v>50</v>
      </c>
      <c r="E25" s="24">
        <v>0.18679999999999999</v>
      </c>
      <c r="F25" s="6">
        <v>331</v>
      </c>
      <c r="G25" s="6" t="s">
        <v>113</v>
      </c>
      <c r="H25" s="23" t="s">
        <v>90</v>
      </c>
    </row>
    <row r="26" spans="1:8" x14ac:dyDescent="0.25">
      <c r="A26" s="7" t="s">
        <v>80</v>
      </c>
      <c r="B26" s="7" t="s">
        <v>30</v>
      </c>
      <c r="C26" s="26">
        <v>7.8399999999999997E-2</v>
      </c>
      <c r="D26" s="8">
        <v>57</v>
      </c>
      <c r="E26" s="26">
        <v>0.1762</v>
      </c>
      <c r="F26" s="8">
        <v>341</v>
      </c>
      <c r="G26" s="8" t="s">
        <v>114</v>
      </c>
      <c r="H26" s="23" t="s">
        <v>90</v>
      </c>
    </row>
    <row r="27" spans="1:8" x14ac:dyDescent="0.25">
      <c r="A27" s="11" t="s">
        <v>81</v>
      </c>
      <c r="B27" s="11" t="s">
        <v>37</v>
      </c>
      <c r="C27" s="25">
        <v>3.4799999999999998E-2</v>
      </c>
      <c r="D27" s="12">
        <v>61</v>
      </c>
      <c r="E27" s="25">
        <v>0.29830000000000001</v>
      </c>
      <c r="F27" s="12">
        <v>157</v>
      </c>
      <c r="G27" s="12" t="s">
        <v>115</v>
      </c>
      <c r="H27" s="23" t="s">
        <v>90</v>
      </c>
    </row>
  </sheetData>
  <mergeCells count="1">
    <mergeCell ref="A1:H1"/>
  </mergeCells>
  <conditionalFormatting sqref="C3:C27">
    <cfRule type="colorScale" priority="1">
      <colorScale>
        <cfvo type="min"/>
        <cfvo type="max"/>
        <color rgb="FFFFFFFF"/>
        <color rgb="FF1F4E79"/>
      </colorScale>
    </cfRule>
  </conditionalFormatting>
  <conditionalFormatting sqref="E3:E27">
    <cfRule type="colorScale" priority="2">
      <colorScale>
        <cfvo type="min"/>
        <cfvo type="max"/>
        <color rgb="FFFFFFFF"/>
        <color rgb="FF2E75B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showGridLines="0" zoomScaleNormal="100" workbookViewId="0">
      <selection activeCell="H11" sqref="H11"/>
    </sheetView>
  </sheetViews>
  <sheetFormatPr defaultRowHeight="15" x14ac:dyDescent="0.25"/>
  <cols>
    <col min="1" max="1" width="12" customWidth="1"/>
    <col min="2" max="2" width="10" customWidth="1"/>
    <col min="3" max="3" width="22" customWidth="1"/>
    <col min="4" max="5" width="16" customWidth="1"/>
    <col min="6" max="6" width="60" customWidth="1"/>
  </cols>
  <sheetData>
    <row r="1" spans="1:6" ht="27.95" customHeight="1" x14ac:dyDescent="0.25">
      <c r="A1" s="35" t="s">
        <v>116</v>
      </c>
      <c r="B1" s="34"/>
      <c r="C1" s="34"/>
      <c r="D1" s="34"/>
      <c r="E1" s="34"/>
      <c r="F1" s="34"/>
    </row>
    <row r="2" spans="1:6" ht="25.5" x14ac:dyDescent="0.25">
      <c r="A2" s="1" t="s">
        <v>117</v>
      </c>
      <c r="B2" s="1" t="s">
        <v>118</v>
      </c>
      <c r="C2" s="1" t="s">
        <v>16</v>
      </c>
      <c r="D2" s="1" t="s">
        <v>46</v>
      </c>
      <c r="E2" s="1" t="s">
        <v>83</v>
      </c>
      <c r="F2" s="1" t="s">
        <v>119</v>
      </c>
    </row>
    <row r="3" spans="1:6" ht="38.1" customHeight="1" x14ac:dyDescent="0.25">
      <c r="A3" s="3" t="s">
        <v>120</v>
      </c>
      <c r="B3" s="3" t="s">
        <v>51</v>
      </c>
      <c r="C3" s="3" t="s">
        <v>22</v>
      </c>
      <c r="D3" s="3" t="s">
        <v>52</v>
      </c>
      <c r="E3" s="22">
        <v>0.9073</v>
      </c>
      <c r="F3" s="28" t="s">
        <v>121</v>
      </c>
    </row>
    <row r="4" spans="1:6" ht="38.1" customHeight="1" x14ac:dyDescent="0.25">
      <c r="A4" s="3" t="s">
        <v>122</v>
      </c>
      <c r="B4" s="3" t="s">
        <v>55</v>
      </c>
      <c r="C4" s="3" t="s">
        <v>22</v>
      </c>
      <c r="D4" s="3" t="s">
        <v>56</v>
      </c>
      <c r="E4" s="22">
        <v>0.69430000000000003</v>
      </c>
      <c r="F4" s="28" t="s">
        <v>123</v>
      </c>
    </row>
    <row r="5" spans="1:6" ht="38.1" customHeight="1" x14ac:dyDescent="0.25">
      <c r="A5" s="3" t="s">
        <v>124</v>
      </c>
      <c r="B5" s="3" t="s">
        <v>57</v>
      </c>
      <c r="C5" s="3" t="s">
        <v>22</v>
      </c>
      <c r="D5" s="3" t="s">
        <v>56</v>
      </c>
      <c r="E5" s="22">
        <v>0.65869999999999995</v>
      </c>
      <c r="F5" s="28" t="s">
        <v>125</v>
      </c>
    </row>
    <row r="6" spans="1:6" ht="38.1" customHeight="1" x14ac:dyDescent="0.25">
      <c r="A6" s="3" t="s">
        <v>126</v>
      </c>
      <c r="B6" s="3" t="s">
        <v>58</v>
      </c>
      <c r="C6" s="3" t="s">
        <v>22</v>
      </c>
      <c r="D6" s="3" t="s">
        <v>56</v>
      </c>
      <c r="E6" s="22">
        <v>0.62060000000000004</v>
      </c>
      <c r="F6" s="28" t="s">
        <v>127</v>
      </c>
    </row>
    <row r="7" spans="1:6" ht="38.1" customHeight="1" x14ac:dyDescent="0.25">
      <c r="A7" s="3" t="s">
        <v>128</v>
      </c>
      <c r="B7" s="3" t="s">
        <v>59</v>
      </c>
      <c r="C7" s="3" t="s">
        <v>22</v>
      </c>
      <c r="D7" s="3" t="s">
        <v>52</v>
      </c>
      <c r="E7" s="22">
        <v>0.60529999999999995</v>
      </c>
      <c r="F7" s="28" t="s">
        <v>129</v>
      </c>
    </row>
    <row r="8" spans="1:6" ht="38.1" customHeight="1" x14ac:dyDescent="0.25">
      <c r="A8" s="5" t="s">
        <v>130</v>
      </c>
      <c r="B8" s="5" t="s">
        <v>60</v>
      </c>
      <c r="C8" s="5" t="s">
        <v>26</v>
      </c>
      <c r="D8" s="5" t="s">
        <v>52</v>
      </c>
      <c r="E8" s="24">
        <v>0.59950000000000003</v>
      </c>
      <c r="F8" s="29" t="s">
        <v>131</v>
      </c>
    </row>
    <row r="9" spans="1:6" ht="38.1" customHeight="1" x14ac:dyDescent="0.25">
      <c r="A9" s="3" t="s">
        <v>132</v>
      </c>
      <c r="B9" s="3" t="s">
        <v>62</v>
      </c>
      <c r="C9" s="3" t="s">
        <v>22</v>
      </c>
      <c r="D9" s="3" t="s">
        <v>52</v>
      </c>
      <c r="E9" s="22">
        <v>0.50539999999999996</v>
      </c>
      <c r="F9" s="28" t="s">
        <v>133</v>
      </c>
    </row>
    <row r="10" spans="1:6" ht="38.1" customHeight="1" x14ac:dyDescent="0.25">
      <c r="A10" s="3" t="s">
        <v>134</v>
      </c>
      <c r="B10" s="3" t="s">
        <v>63</v>
      </c>
      <c r="C10" s="3" t="s">
        <v>22</v>
      </c>
      <c r="D10" s="3" t="s">
        <v>52</v>
      </c>
      <c r="E10" s="22">
        <v>0.48770000000000002</v>
      </c>
      <c r="F10" s="28" t="s">
        <v>135</v>
      </c>
    </row>
    <row r="11" spans="1:6" ht="38.1" customHeight="1" x14ac:dyDescent="0.25">
      <c r="A11" s="3" t="s">
        <v>136</v>
      </c>
      <c r="B11" s="3" t="s">
        <v>64</v>
      </c>
      <c r="C11" s="3" t="s">
        <v>22</v>
      </c>
      <c r="D11" s="3" t="s">
        <v>52</v>
      </c>
      <c r="E11" s="22">
        <v>0.47420000000000001</v>
      </c>
      <c r="F11" s="28" t="s">
        <v>137</v>
      </c>
    </row>
    <row r="12" spans="1:6" ht="38.1" customHeight="1" x14ac:dyDescent="0.25">
      <c r="A12" s="3" t="s">
        <v>138</v>
      </c>
      <c r="B12" s="3" t="s">
        <v>65</v>
      </c>
      <c r="C12" s="3" t="s">
        <v>22</v>
      </c>
      <c r="D12" s="3" t="s">
        <v>52</v>
      </c>
      <c r="E12" s="22">
        <v>0.46410000000000001</v>
      </c>
      <c r="F12" s="28" t="s">
        <v>139</v>
      </c>
    </row>
    <row r="13" spans="1:6" ht="38.1" customHeight="1" x14ac:dyDescent="0.25">
      <c r="A13" s="3" t="s">
        <v>140</v>
      </c>
      <c r="B13" s="3" t="s">
        <v>66</v>
      </c>
      <c r="C13" s="3" t="s">
        <v>22</v>
      </c>
      <c r="D13" s="3" t="s">
        <v>52</v>
      </c>
      <c r="E13" s="22">
        <v>0.4617</v>
      </c>
      <c r="F13" s="28" t="s">
        <v>141</v>
      </c>
    </row>
    <row r="14" spans="1:6" ht="38.1" customHeight="1" x14ac:dyDescent="0.25">
      <c r="A14" s="3" t="s">
        <v>142</v>
      </c>
      <c r="B14" s="3" t="s">
        <v>67</v>
      </c>
      <c r="C14" s="3" t="s">
        <v>22</v>
      </c>
      <c r="D14" s="3" t="s">
        <v>56</v>
      </c>
      <c r="E14" s="22">
        <v>0.44009999999999999</v>
      </c>
      <c r="F14" s="28" t="s">
        <v>143</v>
      </c>
    </row>
    <row r="15" spans="1:6" ht="38.1" customHeight="1" x14ac:dyDescent="0.25">
      <c r="A15" s="11" t="s">
        <v>144</v>
      </c>
      <c r="B15" s="11" t="s">
        <v>69</v>
      </c>
      <c r="C15" s="11" t="s">
        <v>37</v>
      </c>
      <c r="D15" s="11" t="s">
        <v>70</v>
      </c>
      <c r="E15" s="25">
        <v>0.4229</v>
      </c>
      <c r="F15" s="30" t="s">
        <v>145</v>
      </c>
    </row>
    <row r="16" spans="1:6" ht="38.1" customHeight="1" x14ac:dyDescent="0.25">
      <c r="A16" s="3" t="s">
        <v>146</v>
      </c>
      <c r="B16" s="3" t="s">
        <v>71</v>
      </c>
      <c r="C16" s="3" t="s">
        <v>22</v>
      </c>
      <c r="D16" s="3" t="s">
        <v>52</v>
      </c>
      <c r="E16" s="22">
        <v>0.3795</v>
      </c>
      <c r="F16" s="28" t="s">
        <v>147</v>
      </c>
    </row>
    <row r="17" spans="1:6" ht="38.1" customHeight="1" x14ac:dyDescent="0.25">
      <c r="A17" s="5" t="s">
        <v>148</v>
      </c>
      <c r="B17" s="5" t="s">
        <v>72</v>
      </c>
      <c r="C17" s="5" t="s">
        <v>26</v>
      </c>
      <c r="D17" s="5" t="s">
        <v>52</v>
      </c>
      <c r="E17" s="24">
        <v>0.3478</v>
      </c>
      <c r="F17" s="29" t="s">
        <v>149</v>
      </c>
    </row>
    <row r="18" spans="1:6" ht="38.1" customHeight="1" x14ac:dyDescent="0.25">
      <c r="A18" s="7" t="s">
        <v>150</v>
      </c>
      <c r="B18" s="7" t="s">
        <v>73</v>
      </c>
      <c r="C18" s="7" t="s">
        <v>30</v>
      </c>
      <c r="D18" s="7" t="s">
        <v>52</v>
      </c>
      <c r="E18" s="26">
        <v>0.3085</v>
      </c>
      <c r="F18" s="31" t="s">
        <v>151</v>
      </c>
    </row>
    <row r="19" spans="1:6" ht="38.1" customHeight="1" x14ac:dyDescent="0.25">
      <c r="A19" s="5" t="s">
        <v>152</v>
      </c>
      <c r="B19" s="5" t="s">
        <v>74</v>
      </c>
      <c r="C19" s="5" t="s">
        <v>26</v>
      </c>
      <c r="D19" s="5" t="s">
        <v>56</v>
      </c>
      <c r="E19" s="24">
        <v>0.27389999999999998</v>
      </c>
      <c r="F19" s="29" t="s">
        <v>153</v>
      </c>
    </row>
    <row r="20" spans="1:6" ht="38.1" customHeight="1" x14ac:dyDescent="0.25">
      <c r="A20" s="9" t="s">
        <v>154</v>
      </c>
      <c r="B20" s="9" t="s">
        <v>35</v>
      </c>
      <c r="C20" s="9" t="s">
        <v>34</v>
      </c>
      <c r="D20" s="9" t="s">
        <v>56</v>
      </c>
      <c r="E20" s="27">
        <v>0.24340000000000001</v>
      </c>
      <c r="F20" s="32" t="s">
        <v>155</v>
      </c>
    </row>
    <row r="21" spans="1:6" ht="38.1" customHeight="1" x14ac:dyDescent="0.25">
      <c r="A21" s="7" t="s">
        <v>156</v>
      </c>
      <c r="B21" s="7" t="s">
        <v>75</v>
      </c>
      <c r="C21" s="7" t="s">
        <v>30</v>
      </c>
      <c r="D21" s="7" t="s">
        <v>56</v>
      </c>
      <c r="E21" s="26">
        <v>0.21029999999999999</v>
      </c>
      <c r="F21" s="31" t="s">
        <v>157</v>
      </c>
    </row>
    <row r="22" spans="1:6" ht="38.1" customHeight="1" x14ac:dyDescent="0.25">
      <c r="A22" s="11" t="s">
        <v>158</v>
      </c>
      <c r="B22" s="11" t="s">
        <v>76</v>
      </c>
      <c r="C22" s="11" t="s">
        <v>37</v>
      </c>
      <c r="D22" s="11" t="s">
        <v>70</v>
      </c>
      <c r="E22" s="25">
        <v>0.1981</v>
      </c>
      <c r="F22" s="30" t="s">
        <v>159</v>
      </c>
    </row>
    <row r="23" spans="1:6" ht="38.1" customHeight="1" x14ac:dyDescent="0.25">
      <c r="A23" s="5" t="s">
        <v>160</v>
      </c>
      <c r="B23" s="5" t="s">
        <v>77</v>
      </c>
      <c r="C23" s="5" t="s">
        <v>26</v>
      </c>
      <c r="D23" s="5" t="s">
        <v>52</v>
      </c>
      <c r="E23" s="24">
        <v>0.1711</v>
      </c>
      <c r="F23" s="29" t="s">
        <v>161</v>
      </c>
    </row>
    <row r="24" spans="1:6" ht="38.1" customHeight="1" x14ac:dyDescent="0.25">
      <c r="A24" s="5" t="s">
        <v>162</v>
      </c>
      <c r="B24" s="5" t="s">
        <v>78</v>
      </c>
      <c r="C24" s="5" t="s">
        <v>26</v>
      </c>
      <c r="D24" s="5" t="s">
        <v>56</v>
      </c>
      <c r="E24" s="24">
        <v>0.14530000000000001</v>
      </c>
      <c r="F24" s="29" t="s">
        <v>163</v>
      </c>
    </row>
    <row r="25" spans="1:6" ht="38.1" customHeight="1" x14ac:dyDescent="0.25">
      <c r="A25" s="5" t="s">
        <v>164</v>
      </c>
      <c r="B25" s="5" t="s">
        <v>79</v>
      </c>
      <c r="C25" s="5" t="s">
        <v>26</v>
      </c>
      <c r="D25" s="5" t="s">
        <v>56</v>
      </c>
      <c r="E25" s="24">
        <v>0.1147</v>
      </c>
      <c r="F25" s="29" t="s">
        <v>165</v>
      </c>
    </row>
    <row r="26" spans="1:6" ht="38.1" customHeight="1" x14ac:dyDescent="0.25">
      <c r="A26" s="7" t="s">
        <v>166</v>
      </c>
      <c r="B26" s="7" t="s">
        <v>80</v>
      </c>
      <c r="C26" s="7" t="s">
        <v>30</v>
      </c>
      <c r="D26" s="7" t="s">
        <v>56</v>
      </c>
      <c r="E26" s="26">
        <v>7.8399999999999997E-2</v>
      </c>
      <c r="F26" s="31" t="s">
        <v>167</v>
      </c>
    </row>
    <row r="27" spans="1:6" ht="38.1" customHeight="1" x14ac:dyDescent="0.25">
      <c r="A27" s="11" t="s">
        <v>168</v>
      </c>
      <c r="B27" s="11" t="s">
        <v>81</v>
      </c>
      <c r="C27" s="11" t="s">
        <v>37</v>
      </c>
      <c r="D27" s="11" t="s">
        <v>70</v>
      </c>
      <c r="E27" s="25">
        <v>3.4799999999999998E-2</v>
      </c>
      <c r="F27" s="30" t="s">
        <v>169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showGridLines="0" tabSelected="1" topLeftCell="B1" workbookViewId="0">
      <selection activeCell="N27" activeCellId="4" sqref="N14 N19 N24 N25 N27"/>
    </sheetView>
  </sheetViews>
  <sheetFormatPr defaultRowHeight="15" x14ac:dyDescent="0.25"/>
  <cols>
    <col min="1" max="1" width="14" customWidth="1"/>
    <col min="2" max="2" width="10" customWidth="1"/>
    <col min="3" max="3" width="22" customWidth="1"/>
    <col min="4" max="4" width="16" customWidth="1"/>
    <col min="5" max="7" width="12" customWidth="1"/>
    <col min="8" max="8" width="10" customWidth="1"/>
    <col min="9" max="9" width="26" customWidth="1"/>
    <col min="10" max="12" width="12" customWidth="1"/>
    <col min="13" max="13" width="10" customWidth="1"/>
    <col min="14" max="15" width="12" customWidth="1"/>
  </cols>
  <sheetData>
    <row r="1" spans="1:15" ht="27.95" customHeight="1" x14ac:dyDescent="0.25">
      <c r="A1" s="35" t="s">
        <v>170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25.5" x14ac:dyDescent="0.25">
      <c r="A2" s="1" t="s">
        <v>117</v>
      </c>
      <c r="B2" s="1" t="s">
        <v>118</v>
      </c>
      <c r="C2" s="1" t="s">
        <v>16</v>
      </c>
      <c r="D2" s="1" t="s">
        <v>46</v>
      </c>
      <c r="E2" s="1" t="s">
        <v>171</v>
      </c>
      <c r="F2" s="1" t="s">
        <v>172</v>
      </c>
      <c r="G2" s="1" t="s">
        <v>173</v>
      </c>
      <c r="H2" s="1" t="s">
        <v>174</v>
      </c>
      <c r="I2" s="1" t="s">
        <v>175</v>
      </c>
      <c r="J2" s="1" t="s">
        <v>176</v>
      </c>
      <c r="K2" s="1" t="s">
        <v>177</v>
      </c>
      <c r="L2" s="1" t="s">
        <v>178</v>
      </c>
      <c r="M2" s="1" t="s">
        <v>179</v>
      </c>
      <c r="N2" s="1" t="s">
        <v>50</v>
      </c>
      <c r="O2" s="1" t="s">
        <v>87</v>
      </c>
    </row>
    <row r="3" spans="1:15" x14ac:dyDescent="0.25">
      <c r="A3" s="3" t="s">
        <v>120</v>
      </c>
      <c r="B3" s="3" t="s">
        <v>51</v>
      </c>
      <c r="C3" s="3" t="s">
        <v>22</v>
      </c>
      <c r="D3" s="3" t="s">
        <v>52</v>
      </c>
      <c r="E3" s="4">
        <v>5.7119</v>
      </c>
      <c r="F3" s="4">
        <v>5.5000000000000002E-5</v>
      </c>
      <c r="G3" s="4">
        <v>0.9073</v>
      </c>
      <c r="H3" s="4">
        <v>1</v>
      </c>
      <c r="I3" s="4" t="s">
        <v>90</v>
      </c>
      <c r="J3" s="4">
        <v>3.5384000000000002</v>
      </c>
      <c r="K3" s="4">
        <v>3.0000000000000001E-6</v>
      </c>
      <c r="L3" s="4">
        <v>0.52390000000000003</v>
      </c>
      <c r="M3" s="4">
        <v>21</v>
      </c>
      <c r="N3" s="16" t="s">
        <v>54</v>
      </c>
      <c r="O3" s="4" t="s">
        <v>89</v>
      </c>
    </row>
    <row r="4" spans="1:15" x14ac:dyDescent="0.25">
      <c r="A4" s="3" t="s">
        <v>122</v>
      </c>
      <c r="B4" s="3" t="s">
        <v>55</v>
      </c>
      <c r="C4" s="3" t="s">
        <v>22</v>
      </c>
      <c r="D4" s="3" t="s">
        <v>56</v>
      </c>
      <c r="E4" s="4">
        <v>3.9495</v>
      </c>
      <c r="F4" s="4">
        <v>5.5000000000000002E-5</v>
      </c>
      <c r="G4" s="4">
        <v>0.69430000000000003</v>
      </c>
      <c r="H4" s="4">
        <v>2</v>
      </c>
      <c r="I4" s="4" t="s">
        <v>90</v>
      </c>
      <c r="J4" s="4">
        <v>3.0341999999999998</v>
      </c>
      <c r="K4" s="4">
        <v>2.5999999999999998E-5</v>
      </c>
      <c r="L4" s="4">
        <v>0.42030000000000001</v>
      </c>
      <c r="M4" s="4">
        <v>54</v>
      </c>
      <c r="N4" s="16" t="s">
        <v>54</v>
      </c>
      <c r="O4" s="4" t="s">
        <v>91</v>
      </c>
    </row>
    <row r="5" spans="1:15" x14ac:dyDescent="0.25">
      <c r="A5" s="3" t="s">
        <v>124</v>
      </c>
      <c r="B5" s="3" t="s">
        <v>57</v>
      </c>
      <c r="C5" s="3" t="s">
        <v>22</v>
      </c>
      <c r="D5" s="3" t="s">
        <v>56</v>
      </c>
      <c r="E5" s="4">
        <v>3.0501</v>
      </c>
      <c r="F5" s="4">
        <v>7.2000000000000002E-5</v>
      </c>
      <c r="G5" s="4">
        <v>0.65869999999999995</v>
      </c>
      <c r="H5" s="4">
        <v>3</v>
      </c>
      <c r="I5" s="4" t="s">
        <v>90</v>
      </c>
      <c r="J5" s="4">
        <v>3.3207</v>
      </c>
      <c r="K5" s="4">
        <v>6.0000000000000002E-6</v>
      </c>
      <c r="L5" s="4">
        <v>0.49490000000000001</v>
      </c>
      <c r="M5" s="4">
        <v>27</v>
      </c>
      <c r="N5" s="16" t="s">
        <v>54</v>
      </c>
      <c r="O5" s="4" t="s">
        <v>92</v>
      </c>
    </row>
    <row r="6" spans="1:15" x14ac:dyDescent="0.25">
      <c r="A6" s="3" t="s">
        <v>126</v>
      </c>
      <c r="B6" s="3" t="s">
        <v>58</v>
      </c>
      <c r="C6" s="3" t="s">
        <v>22</v>
      </c>
      <c r="D6" s="3" t="s">
        <v>56</v>
      </c>
      <c r="E6" s="4">
        <v>3.2258</v>
      </c>
      <c r="F6" s="4">
        <v>5.5000000000000002E-5</v>
      </c>
      <c r="G6" s="4">
        <v>0.62060000000000004</v>
      </c>
      <c r="H6" s="4">
        <v>4</v>
      </c>
      <c r="I6" s="4" t="s">
        <v>90</v>
      </c>
      <c r="J6" s="4">
        <v>3.5554999999999999</v>
      </c>
      <c r="K6" s="4">
        <v>3.9999999999999998E-6</v>
      </c>
      <c r="L6" s="4">
        <v>0.442</v>
      </c>
      <c r="M6" s="4">
        <v>44</v>
      </c>
      <c r="N6" s="16" t="s">
        <v>54</v>
      </c>
      <c r="O6" s="4" t="s">
        <v>93</v>
      </c>
    </row>
    <row r="7" spans="1:15" x14ac:dyDescent="0.25">
      <c r="A7" s="3" t="s">
        <v>128</v>
      </c>
      <c r="B7" s="3" t="s">
        <v>59</v>
      </c>
      <c r="C7" s="3" t="s">
        <v>22</v>
      </c>
      <c r="D7" s="3" t="s">
        <v>52</v>
      </c>
      <c r="E7" s="4">
        <v>4.5941000000000001</v>
      </c>
      <c r="F7" s="4">
        <v>1.6200000000000001E-4</v>
      </c>
      <c r="G7" s="4">
        <v>0.60529999999999995</v>
      </c>
      <c r="H7" s="4">
        <v>6</v>
      </c>
      <c r="I7" s="4" t="s">
        <v>90</v>
      </c>
      <c r="J7" s="4">
        <v>3.923</v>
      </c>
      <c r="K7" s="4">
        <v>0</v>
      </c>
      <c r="L7" s="4">
        <v>0.30059999999999998</v>
      </c>
      <c r="M7" s="4">
        <v>150</v>
      </c>
      <c r="N7" s="16" t="s">
        <v>54</v>
      </c>
      <c r="O7" s="4" t="s">
        <v>94</v>
      </c>
    </row>
    <row r="8" spans="1:15" x14ac:dyDescent="0.25">
      <c r="A8" s="5" t="s">
        <v>130</v>
      </c>
      <c r="B8" s="5" t="s">
        <v>60</v>
      </c>
      <c r="C8" s="5" t="s">
        <v>26</v>
      </c>
      <c r="D8" s="5" t="s">
        <v>52</v>
      </c>
      <c r="E8" s="6">
        <v>-4.9485000000000001</v>
      </c>
      <c r="F8" s="6">
        <v>1.2E-4</v>
      </c>
      <c r="G8" s="6">
        <v>0.59950000000000003</v>
      </c>
      <c r="H8" s="6">
        <v>7</v>
      </c>
      <c r="I8" s="6" t="s">
        <v>90</v>
      </c>
      <c r="J8" s="6">
        <v>-4.0709999999999997</v>
      </c>
      <c r="K8" s="6">
        <v>9.9999999999999995E-7</v>
      </c>
      <c r="L8" s="6">
        <v>0.38529999999999998</v>
      </c>
      <c r="M8" s="6">
        <v>64</v>
      </c>
      <c r="N8" s="16" t="s">
        <v>54</v>
      </c>
      <c r="O8" s="6" t="s">
        <v>95</v>
      </c>
    </row>
    <row r="9" spans="1:15" x14ac:dyDescent="0.25">
      <c r="A9" s="3" t="s">
        <v>132</v>
      </c>
      <c r="B9" s="3" t="s">
        <v>62</v>
      </c>
      <c r="C9" s="3" t="s">
        <v>22</v>
      </c>
      <c r="D9" s="3" t="s">
        <v>52</v>
      </c>
      <c r="E9" s="4">
        <v>2.9756999999999998</v>
      </c>
      <c r="F9" s="4">
        <v>1.66E-4</v>
      </c>
      <c r="G9" s="4">
        <v>0.50539999999999996</v>
      </c>
      <c r="H9" s="4">
        <v>9</v>
      </c>
      <c r="I9" s="4" t="s">
        <v>90</v>
      </c>
      <c r="J9" s="4">
        <v>3.4262999999999999</v>
      </c>
      <c r="K9" s="4">
        <v>3.9999999999999998E-6</v>
      </c>
      <c r="L9" s="4">
        <v>0.37780000000000002</v>
      </c>
      <c r="M9" s="4">
        <v>68</v>
      </c>
      <c r="N9" s="16" t="s">
        <v>54</v>
      </c>
      <c r="O9" s="4" t="s">
        <v>96</v>
      </c>
    </row>
    <row r="10" spans="1:15" x14ac:dyDescent="0.25">
      <c r="A10" s="3" t="s">
        <v>134</v>
      </c>
      <c r="B10" s="3" t="s">
        <v>63</v>
      </c>
      <c r="C10" s="3" t="s">
        <v>22</v>
      </c>
      <c r="D10" s="3" t="s">
        <v>52</v>
      </c>
      <c r="E10" s="4">
        <v>1.7095</v>
      </c>
      <c r="F10" s="4">
        <v>7.5199999999999996E-4</v>
      </c>
      <c r="G10" s="4">
        <v>0.48770000000000002</v>
      </c>
      <c r="H10" s="4">
        <v>11</v>
      </c>
      <c r="I10" s="4" t="s">
        <v>90</v>
      </c>
      <c r="J10" s="4">
        <v>1.6675</v>
      </c>
      <c r="K10" s="4">
        <v>1.4514000000000001E-2</v>
      </c>
      <c r="L10" s="4">
        <v>0.36770000000000003</v>
      </c>
      <c r="M10" s="4">
        <v>76</v>
      </c>
      <c r="N10" s="16" t="s">
        <v>54</v>
      </c>
      <c r="O10" s="4" t="s">
        <v>97</v>
      </c>
    </row>
    <row r="11" spans="1:15" x14ac:dyDescent="0.25">
      <c r="A11" s="3" t="s">
        <v>136</v>
      </c>
      <c r="B11" s="3" t="s">
        <v>64</v>
      </c>
      <c r="C11" s="3" t="s">
        <v>22</v>
      </c>
      <c r="D11" s="3" t="s">
        <v>52</v>
      </c>
      <c r="E11" s="4">
        <v>2.1503000000000001</v>
      </c>
      <c r="F11" s="4">
        <v>1.6899999999999999E-4</v>
      </c>
      <c r="G11" s="4">
        <v>0.47420000000000001</v>
      </c>
      <c r="H11" s="4">
        <v>12</v>
      </c>
      <c r="I11" s="4" t="s">
        <v>90</v>
      </c>
      <c r="J11" s="4">
        <v>2.944</v>
      </c>
      <c r="K11" s="4">
        <v>4.6E-5</v>
      </c>
      <c r="L11" s="4">
        <v>0.38919999999999999</v>
      </c>
      <c r="M11" s="4">
        <v>63</v>
      </c>
      <c r="N11" s="16" t="s">
        <v>54</v>
      </c>
      <c r="O11" s="4" t="s">
        <v>98</v>
      </c>
    </row>
    <row r="12" spans="1:15" x14ac:dyDescent="0.25">
      <c r="A12" s="3" t="s">
        <v>138</v>
      </c>
      <c r="B12" s="3" t="s">
        <v>65</v>
      </c>
      <c r="C12" s="3" t="s">
        <v>22</v>
      </c>
      <c r="D12" s="3" t="s">
        <v>52</v>
      </c>
      <c r="E12" s="4">
        <v>2.8416000000000001</v>
      </c>
      <c r="F12" s="4">
        <v>5.5059999999999996E-3</v>
      </c>
      <c r="G12" s="4">
        <v>0.46410000000000001</v>
      </c>
      <c r="H12" s="4">
        <v>14</v>
      </c>
      <c r="I12" s="4" t="s">
        <v>90</v>
      </c>
      <c r="J12" s="4">
        <v>7.944</v>
      </c>
      <c r="K12" s="4">
        <v>0</v>
      </c>
      <c r="L12" s="4">
        <v>0.6522</v>
      </c>
      <c r="M12" s="4">
        <v>4</v>
      </c>
      <c r="N12" s="16" t="s">
        <v>54</v>
      </c>
      <c r="O12" s="4" t="s">
        <v>99</v>
      </c>
    </row>
    <row r="13" spans="1:15" x14ac:dyDescent="0.25">
      <c r="A13" s="3" t="s">
        <v>140</v>
      </c>
      <c r="B13" s="3" t="s">
        <v>66</v>
      </c>
      <c r="C13" s="3" t="s">
        <v>22</v>
      </c>
      <c r="D13" s="3" t="s">
        <v>52</v>
      </c>
      <c r="E13" s="4">
        <v>2.1166</v>
      </c>
      <c r="F13" s="4">
        <v>3.0800000000000001E-4</v>
      </c>
      <c r="G13" s="4">
        <v>0.4617</v>
      </c>
      <c r="H13" s="4">
        <v>15</v>
      </c>
      <c r="I13" s="4" t="s">
        <v>90</v>
      </c>
      <c r="J13" s="4">
        <v>2.8056999999999999</v>
      </c>
      <c r="K13" s="4">
        <v>1.5200000000000001E-4</v>
      </c>
      <c r="L13" s="4">
        <v>0.35830000000000001</v>
      </c>
      <c r="M13" s="4">
        <v>81</v>
      </c>
      <c r="N13" s="16" t="s">
        <v>54</v>
      </c>
      <c r="O13" s="4" t="s">
        <v>100</v>
      </c>
    </row>
    <row r="14" spans="1:15" x14ac:dyDescent="0.25">
      <c r="A14" s="3" t="s">
        <v>142</v>
      </c>
      <c r="B14" s="3" t="s">
        <v>67</v>
      </c>
      <c r="C14" s="3" t="s">
        <v>22</v>
      </c>
      <c r="D14" s="3" t="s">
        <v>56</v>
      </c>
      <c r="E14" s="4">
        <v>1.5615000000000001</v>
      </c>
      <c r="F14" s="4">
        <v>4.5199999999999998E-4</v>
      </c>
      <c r="G14" s="4">
        <v>0.44009999999999999</v>
      </c>
      <c r="H14" s="4">
        <v>17</v>
      </c>
      <c r="I14" s="4" t="s">
        <v>90</v>
      </c>
      <c r="J14" s="4">
        <v>-0.17499999999999999</v>
      </c>
      <c r="K14" s="4">
        <v>0.87961299999999998</v>
      </c>
      <c r="L14" s="4">
        <v>0.2006</v>
      </c>
      <c r="M14" s="4">
        <v>313</v>
      </c>
      <c r="N14" s="18" t="s">
        <v>68</v>
      </c>
      <c r="O14" s="4" t="s">
        <v>101</v>
      </c>
    </row>
    <row r="15" spans="1:15" x14ac:dyDescent="0.25">
      <c r="A15" s="11" t="s">
        <v>144</v>
      </c>
      <c r="B15" s="11" t="s">
        <v>69</v>
      </c>
      <c r="C15" s="11" t="s">
        <v>37</v>
      </c>
      <c r="D15" s="11" t="s">
        <v>70</v>
      </c>
      <c r="E15" s="12">
        <v>-2.2682000000000002</v>
      </c>
      <c r="F15" s="12">
        <v>3.1718999999999997E-2</v>
      </c>
      <c r="G15" s="12">
        <v>0.4229</v>
      </c>
      <c r="H15" s="12">
        <v>18</v>
      </c>
      <c r="I15" s="12" t="s">
        <v>90</v>
      </c>
      <c r="J15" s="12">
        <v>-1.5454000000000001</v>
      </c>
      <c r="K15" s="12">
        <v>3.2243000000000001E-2</v>
      </c>
      <c r="L15" s="12">
        <v>0.26900000000000002</v>
      </c>
      <c r="M15" s="12">
        <v>211</v>
      </c>
      <c r="N15" s="16" t="s">
        <v>54</v>
      </c>
      <c r="O15" s="12" t="s">
        <v>102</v>
      </c>
    </row>
    <row r="16" spans="1:15" x14ac:dyDescent="0.25">
      <c r="A16" s="3" t="s">
        <v>146</v>
      </c>
      <c r="B16" s="3" t="s">
        <v>71</v>
      </c>
      <c r="C16" s="3" t="s">
        <v>22</v>
      </c>
      <c r="D16" s="3" t="s">
        <v>52</v>
      </c>
      <c r="E16" s="4">
        <v>2.3569</v>
      </c>
      <c r="F16" s="4">
        <v>3.6499999999999998E-4</v>
      </c>
      <c r="G16" s="4">
        <v>0.3795</v>
      </c>
      <c r="H16" s="4">
        <v>19</v>
      </c>
      <c r="I16" s="4" t="s">
        <v>90</v>
      </c>
      <c r="J16" s="4">
        <v>1.6237999999999999</v>
      </c>
      <c r="K16" s="4">
        <v>1.6612999999999999E-2</v>
      </c>
      <c r="L16" s="4">
        <v>0.21190000000000001</v>
      </c>
      <c r="M16" s="4">
        <v>295</v>
      </c>
      <c r="N16" s="16" t="s">
        <v>54</v>
      </c>
      <c r="O16" s="4" t="s">
        <v>103</v>
      </c>
    </row>
    <row r="17" spans="1:15" x14ac:dyDescent="0.25">
      <c r="A17" s="5" t="s">
        <v>148</v>
      </c>
      <c r="B17" s="5" t="s">
        <v>72</v>
      </c>
      <c r="C17" s="5" t="s">
        <v>26</v>
      </c>
      <c r="D17" s="5" t="s">
        <v>52</v>
      </c>
      <c r="E17" s="6">
        <v>2.2623000000000002</v>
      </c>
      <c r="F17" s="6">
        <v>1.8200000000000001E-4</v>
      </c>
      <c r="G17" s="6">
        <v>0.3478</v>
      </c>
      <c r="H17" s="6">
        <v>23</v>
      </c>
      <c r="I17" s="6" t="s">
        <v>105</v>
      </c>
      <c r="J17" s="6">
        <v>2.1997</v>
      </c>
      <c r="K17" s="6">
        <v>1.1329999999999999E-3</v>
      </c>
      <c r="L17" s="6">
        <v>0.32850000000000001</v>
      </c>
      <c r="M17" s="6">
        <v>110</v>
      </c>
      <c r="N17" s="16" t="s">
        <v>54</v>
      </c>
      <c r="O17" s="6" t="s">
        <v>104</v>
      </c>
    </row>
    <row r="18" spans="1:15" x14ac:dyDescent="0.25">
      <c r="A18" s="7" t="s">
        <v>150</v>
      </c>
      <c r="B18" s="7" t="s">
        <v>73</v>
      </c>
      <c r="C18" s="7" t="s">
        <v>30</v>
      </c>
      <c r="D18" s="7" t="s">
        <v>52</v>
      </c>
      <c r="E18" s="8">
        <v>-2.2109000000000001</v>
      </c>
      <c r="F18" s="8">
        <v>1.4339999999999999E-3</v>
      </c>
      <c r="G18" s="8">
        <v>0.3085</v>
      </c>
      <c r="H18" s="8">
        <v>26</v>
      </c>
      <c r="I18" s="8" t="s">
        <v>105</v>
      </c>
      <c r="J18" s="8">
        <v>-2.1659999999999999</v>
      </c>
      <c r="K18" s="8">
        <v>1.485E-3</v>
      </c>
      <c r="L18" s="8">
        <v>0.30030000000000001</v>
      </c>
      <c r="M18" s="8">
        <v>153</v>
      </c>
      <c r="N18" s="16" t="s">
        <v>54</v>
      </c>
      <c r="O18" s="8" t="s">
        <v>106</v>
      </c>
    </row>
    <row r="19" spans="1:15" x14ac:dyDescent="0.25">
      <c r="A19" s="5" t="s">
        <v>152</v>
      </c>
      <c r="B19" s="5" t="s">
        <v>74</v>
      </c>
      <c r="C19" s="5" t="s">
        <v>26</v>
      </c>
      <c r="D19" s="5" t="s">
        <v>56</v>
      </c>
      <c r="E19" s="6">
        <v>1.5216000000000001</v>
      </c>
      <c r="F19" s="6">
        <v>0.37207400000000002</v>
      </c>
      <c r="G19" s="6">
        <v>0.27389999999999998</v>
      </c>
      <c r="H19" s="6">
        <v>28</v>
      </c>
      <c r="I19" s="6" t="s">
        <v>90</v>
      </c>
      <c r="J19" s="6">
        <v>-1.6377999999999999</v>
      </c>
      <c r="K19" s="6">
        <v>0.20948600000000001</v>
      </c>
      <c r="L19" s="6">
        <v>0.28349999999999997</v>
      </c>
      <c r="M19" s="6">
        <v>174</v>
      </c>
      <c r="N19" s="18" t="s">
        <v>68</v>
      </c>
      <c r="O19" s="6" t="s">
        <v>107</v>
      </c>
    </row>
    <row r="20" spans="1:15" x14ac:dyDescent="0.25">
      <c r="A20" s="9" t="s">
        <v>154</v>
      </c>
      <c r="B20" s="9" t="s">
        <v>35</v>
      </c>
      <c r="C20" s="9" t="s">
        <v>34</v>
      </c>
      <c r="D20" s="9" t="s">
        <v>56</v>
      </c>
      <c r="E20" s="10">
        <v>0.9768</v>
      </c>
      <c r="F20" s="10">
        <v>3.2641999999999997E-2</v>
      </c>
      <c r="G20" s="10">
        <v>0.24340000000000001</v>
      </c>
      <c r="H20" s="10">
        <v>30</v>
      </c>
      <c r="I20" s="10" t="s">
        <v>90</v>
      </c>
      <c r="J20" s="10">
        <v>1.1596</v>
      </c>
      <c r="K20" s="10">
        <v>9.8174999999999998E-2</v>
      </c>
      <c r="L20" s="10">
        <v>0.2077</v>
      </c>
      <c r="M20" s="10">
        <v>299</v>
      </c>
      <c r="N20" s="16" t="s">
        <v>54</v>
      </c>
      <c r="O20" s="10" t="s">
        <v>108</v>
      </c>
    </row>
    <row r="21" spans="1:15" x14ac:dyDescent="0.25">
      <c r="A21" s="7" t="s">
        <v>156</v>
      </c>
      <c r="B21" s="7" t="s">
        <v>75</v>
      </c>
      <c r="C21" s="7" t="s">
        <v>30</v>
      </c>
      <c r="D21" s="7" t="s">
        <v>56</v>
      </c>
      <c r="E21" s="8">
        <v>-0.34420000000000001</v>
      </c>
      <c r="F21" s="8">
        <v>0.23885000000000001</v>
      </c>
      <c r="G21" s="8">
        <v>0.21029999999999999</v>
      </c>
      <c r="H21" s="8">
        <v>33</v>
      </c>
      <c r="I21" s="8" t="s">
        <v>90</v>
      </c>
      <c r="J21" s="8">
        <v>-0.85209999999999997</v>
      </c>
      <c r="K21" s="8">
        <v>0.26547300000000001</v>
      </c>
      <c r="L21" s="8">
        <v>0.26679999999999998</v>
      </c>
      <c r="M21" s="8">
        <v>221</v>
      </c>
      <c r="N21" s="16" t="s">
        <v>54</v>
      </c>
      <c r="O21" s="8" t="s">
        <v>109</v>
      </c>
    </row>
    <row r="22" spans="1:15" x14ac:dyDescent="0.25">
      <c r="A22" s="11" t="s">
        <v>158</v>
      </c>
      <c r="B22" s="11" t="s">
        <v>76</v>
      </c>
      <c r="C22" s="11" t="s">
        <v>37</v>
      </c>
      <c r="D22" s="11" t="s">
        <v>70</v>
      </c>
      <c r="E22" s="12">
        <v>1.5044999999999999</v>
      </c>
      <c r="F22" s="12">
        <v>2.24E-2</v>
      </c>
      <c r="G22" s="12">
        <v>0.1981</v>
      </c>
      <c r="H22" s="12">
        <v>35</v>
      </c>
      <c r="I22" s="12" t="s">
        <v>105</v>
      </c>
      <c r="J22" s="12">
        <v>1.8743000000000001</v>
      </c>
      <c r="K22" s="12">
        <v>9.4769999999999993E-3</v>
      </c>
      <c r="L22" s="12">
        <v>0.25380000000000003</v>
      </c>
      <c r="M22" s="12">
        <v>244</v>
      </c>
      <c r="N22" s="16" t="s">
        <v>54</v>
      </c>
      <c r="O22" s="12" t="s">
        <v>110</v>
      </c>
    </row>
    <row r="23" spans="1:15" x14ac:dyDescent="0.25">
      <c r="A23" s="5" t="s">
        <v>160</v>
      </c>
      <c r="B23" s="5" t="s">
        <v>77</v>
      </c>
      <c r="C23" s="5" t="s">
        <v>26</v>
      </c>
      <c r="D23" s="5" t="s">
        <v>52</v>
      </c>
      <c r="E23" s="6">
        <v>-0.1618</v>
      </c>
      <c r="F23" s="6">
        <v>0.69478499999999999</v>
      </c>
      <c r="G23" s="6">
        <v>0.1711</v>
      </c>
      <c r="H23" s="6">
        <v>41</v>
      </c>
      <c r="I23" s="6" t="s">
        <v>90</v>
      </c>
      <c r="J23" s="6">
        <v>-5.3615000000000004</v>
      </c>
      <c r="K23" s="6">
        <v>0</v>
      </c>
      <c r="L23" s="6">
        <v>0.54349999999999998</v>
      </c>
      <c r="M23" s="6">
        <v>18</v>
      </c>
      <c r="N23" s="16" t="s">
        <v>54</v>
      </c>
      <c r="O23" s="6" t="s">
        <v>111</v>
      </c>
    </row>
    <row r="24" spans="1:15" x14ac:dyDescent="0.25">
      <c r="A24" s="5" t="s">
        <v>162</v>
      </c>
      <c r="B24" s="5" t="s">
        <v>78</v>
      </c>
      <c r="C24" s="5" t="s">
        <v>26</v>
      </c>
      <c r="D24" s="5" t="s">
        <v>56</v>
      </c>
      <c r="E24" s="6">
        <v>0.1918</v>
      </c>
      <c r="F24" s="6">
        <v>0.71781799999999996</v>
      </c>
      <c r="G24" s="6">
        <v>0.14530000000000001</v>
      </c>
      <c r="H24" s="6">
        <v>47</v>
      </c>
      <c r="I24" s="6" t="s">
        <v>90</v>
      </c>
      <c r="J24" s="6">
        <v>-0.89639999999999997</v>
      </c>
      <c r="K24" s="6">
        <v>0.23499100000000001</v>
      </c>
      <c r="L24" s="6">
        <v>0.27579999999999999</v>
      </c>
      <c r="M24" s="6">
        <v>192</v>
      </c>
      <c r="N24" s="18" t="s">
        <v>68</v>
      </c>
      <c r="O24" s="6" t="s">
        <v>112</v>
      </c>
    </row>
    <row r="25" spans="1:15" x14ac:dyDescent="0.25">
      <c r="A25" s="5" t="s">
        <v>164</v>
      </c>
      <c r="B25" s="5" t="s">
        <v>79</v>
      </c>
      <c r="C25" s="5" t="s">
        <v>26</v>
      </c>
      <c r="D25" s="5" t="s">
        <v>56</v>
      </c>
      <c r="E25" s="6">
        <v>0.69169999999999998</v>
      </c>
      <c r="F25" s="6">
        <v>3.8938E-2</v>
      </c>
      <c r="G25" s="6">
        <v>0.1147</v>
      </c>
      <c r="H25" s="6">
        <v>50</v>
      </c>
      <c r="I25" s="6" t="s">
        <v>90</v>
      </c>
      <c r="J25" s="6">
        <v>-0.48430000000000001</v>
      </c>
      <c r="K25" s="6">
        <v>0.59367400000000004</v>
      </c>
      <c r="L25" s="6">
        <v>0.18679999999999999</v>
      </c>
      <c r="M25" s="6">
        <v>331</v>
      </c>
      <c r="N25" s="18" t="s">
        <v>68</v>
      </c>
      <c r="O25" s="6" t="s">
        <v>113</v>
      </c>
    </row>
    <row r="26" spans="1:15" x14ac:dyDescent="0.25">
      <c r="A26" s="7" t="s">
        <v>166</v>
      </c>
      <c r="B26" s="7" t="s">
        <v>80</v>
      </c>
      <c r="C26" s="7" t="s">
        <v>30</v>
      </c>
      <c r="D26" s="7" t="s">
        <v>56</v>
      </c>
      <c r="E26" s="8">
        <v>-5.16E-2</v>
      </c>
      <c r="F26" s="8">
        <v>0.90444000000000002</v>
      </c>
      <c r="G26" s="8">
        <v>7.8399999999999997E-2</v>
      </c>
      <c r="H26" s="8">
        <v>57</v>
      </c>
      <c r="I26" s="8" t="s">
        <v>90</v>
      </c>
      <c r="J26" s="8">
        <v>-1.4557</v>
      </c>
      <c r="K26" s="8">
        <v>4.2325000000000002E-2</v>
      </c>
      <c r="L26" s="8">
        <v>0.1762</v>
      </c>
      <c r="M26" s="8">
        <v>341</v>
      </c>
      <c r="N26" s="16" t="s">
        <v>54</v>
      </c>
      <c r="O26" s="8" t="s">
        <v>114</v>
      </c>
    </row>
    <row r="27" spans="1:15" x14ac:dyDescent="0.25">
      <c r="A27" s="11" t="s">
        <v>168</v>
      </c>
      <c r="B27" s="11" t="s">
        <v>81</v>
      </c>
      <c r="C27" s="11" t="s">
        <v>37</v>
      </c>
      <c r="D27" s="11" t="s">
        <v>70</v>
      </c>
      <c r="E27" s="12">
        <v>2.35E-2</v>
      </c>
      <c r="F27" s="12">
        <v>0.96670500000000004</v>
      </c>
      <c r="G27" s="12">
        <v>3.4799999999999998E-2</v>
      </c>
      <c r="H27" s="12">
        <v>61</v>
      </c>
      <c r="I27" s="12" t="s">
        <v>90</v>
      </c>
      <c r="J27" s="12">
        <v>-1.45</v>
      </c>
      <c r="K27" s="12">
        <v>6.2562999999999994E-2</v>
      </c>
      <c r="L27" s="12">
        <v>0.29830000000000001</v>
      </c>
      <c r="M27" s="12">
        <v>157</v>
      </c>
      <c r="N27" s="18" t="s">
        <v>68</v>
      </c>
      <c r="O27" s="12" t="s">
        <v>115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1_Intersection_Summary</vt:lpstr>
      <vt:lpstr>2_Direction_Consistency</vt:lpstr>
      <vt:lpstr>3_CDS_Comparison</vt:lpstr>
      <vt:lpstr>4_Protein_Descriptions</vt:lpstr>
      <vt:lpstr>5_Full_Supplementary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Tue</cp:lastModifiedBy>
  <dcterms:created xsi:type="dcterms:W3CDTF">2026-03-25T03:52:14Z</dcterms:created>
  <dcterms:modified xsi:type="dcterms:W3CDTF">2026-03-25T04:46:44Z</dcterms:modified>
</cp:coreProperties>
</file>